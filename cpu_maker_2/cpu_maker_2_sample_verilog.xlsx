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md" sheetId="1" state="visible" r:id="rId3"/>
    <sheet name="top" sheetId="2" state="visible" r:id="rId4"/>
    <sheet name="dump" sheetId="3" state="visible" r:id="rId5"/>
    <sheet name="rst" sheetId="4" state="visible" r:id="rId6"/>
    <sheet name="clk" sheetId="5" state="visible" r:id="rId7"/>
    <sheet name="target" sheetId="6" state="visible" r:id="rId8"/>
    <sheet name="csvveri_C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<sst xmlns="http://schemas.openxmlformats.org/spreadsheetml/2006/main" count="537" uniqueCount="190">
  <si>
    <t xml:space="preserve">//</t>
  </si>
  <si>
    <r>
      <rPr>
        <sz val="11"/>
        <rFont val="ＭＳ Ｐゴシック"/>
        <family val="3"/>
      </rPr>
      <t xml:space="preserve">Verilog</t>
    </r>
    <r>
      <rPr>
        <sz val="11"/>
        <rFont val="ＭＳ Ｐゴシック"/>
        <family val="3"/>
        <charset val="128"/>
      </rPr>
      <t xml:space="preserve">生成ファイル</t>
    </r>
  </si>
  <si>
    <t xml:space="preserve">%include</t>
  </si>
  <si>
    <t xml:space="preserve">csvveri_C.csv</t>
  </si>
  <si>
    <t xml:space="preserve">%classcall</t>
  </si>
  <si>
    <t xml:space="preserve">csvveri_C</t>
  </si>
  <si>
    <t xml:space="preserve">csvveri</t>
  </si>
  <si>
    <t xml:space="preserve">設定</t>
  </si>
  <si>
    <t xml:space="preserve">%set</t>
  </si>
  <si>
    <t xml:space="preserve">output_dir</t>
  </si>
  <si>
    <t xml:space="preserve">C:\hpdata\csvpp_source_tc\csvcompiler_2\cpu_maker_2\verilog</t>
  </si>
  <si>
    <t xml:space="preserve">ファイルの出力先</t>
  </si>
  <si>
    <t xml:space="preserve">前のファイルを削除</t>
  </si>
  <si>
    <t xml:space="preserve">%exec</t>
  </si>
  <si>
    <t xml:space="preserve">del $output_dir$\*.v</t>
  </si>
  <si>
    <r>
      <rPr>
        <sz val="11"/>
        <rFont val="ＭＳ Ｐゴシック"/>
        <family val="3"/>
      </rPr>
      <t xml:space="preserve">CSV-Verilog MakerII </t>
    </r>
    <r>
      <rPr>
        <sz val="11"/>
        <rFont val="ＭＳ Ｐゴシック"/>
        <family val="3"/>
        <charset val="128"/>
      </rPr>
      <t xml:space="preserve">変換</t>
    </r>
  </si>
  <si>
    <t xml:space="preserve">%shell</t>
  </si>
  <si>
    <t xml:space="preserve">target</t>
  </si>
  <si>
    <t xml:space="preserve">ターゲット</t>
  </si>
  <si>
    <t xml:space="preserve">clk</t>
  </si>
  <si>
    <t xml:space="preserve">クロック信号生成</t>
  </si>
  <si>
    <t xml:space="preserve">rst</t>
  </si>
  <si>
    <t xml:space="preserve">リセット信号生成</t>
  </si>
  <si>
    <t xml:space="preserve">top</t>
  </si>
  <si>
    <t xml:space="preserve">モジュール間接族とダンプ</t>
  </si>
  <si>
    <t xml:space="preserve">dump.csv</t>
  </si>
  <si>
    <t xml:space="preserve">モジュール間接続</t>
  </si>
  <si>
    <t xml:space="preserve">#module</t>
  </si>
  <si>
    <t xml:space="preserve">接続リスト</t>
  </si>
  <si>
    <t xml:space="preserve">#con_head</t>
  </si>
  <si>
    <t xml:space="preserve">#define</t>
  </si>
  <si>
    <t xml:space="preserve">#line</t>
  </si>
  <si>
    <t xml:space="preserve">#con_mod</t>
  </si>
  <si>
    <t xml:space="preserve">cpu_for_testbench</t>
  </si>
  <si>
    <t xml:space="preserve">#con</t>
  </si>
  <si>
    <t xml:space="preserve">clko</t>
  </si>
  <si>
    <t xml:space="preserve">1</t>
  </si>
  <si>
    <t xml:space="preserve">irq0</t>
  </si>
  <si>
    <t xml:space="preserve">irq1</t>
  </si>
  <si>
    <t xml:space="preserve">irq2</t>
  </si>
  <si>
    <t xml:space="preserve">irq3</t>
  </si>
  <si>
    <t xml:space="preserve">irq_clear0</t>
  </si>
  <si>
    <t xml:space="preserve">irq_clear1</t>
  </si>
  <si>
    <t xml:space="preserve">irq_clear2</t>
  </si>
  <si>
    <t xml:space="preserve">irq_clear3</t>
  </si>
  <si>
    <t xml:space="preserve">{irq3,irq2,irq1,irq0}</t>
  </si>
  <si>
    <t xml:space="preserve">irq</t>
  </si>
  <si>
    <t xml:space="preserve">{irq_clear3,irq_clear2,irq_clear1,irq_clear0}</t>
  </si>
  <si>
    <t xml:space="preserve">irq_clear</t>
  </si>
  <si>
    <t xml:space="preserve">cs</t>
  </si>
  <si>
    <t xml:space="preserve">we</t>
  </si>
  <si>
    <t xml:space="preserve">16</t>
  </si>
  <si>
    <t xml:space="preserve">adr</t>
  </si>
  <si>
    <t xml:space="preserve">8</t>
  </si>
  <si>
    <t xml:space="preserve">dtin</t>
  </si>
  <si>
    <t xml:space="preserve">dtout</t>
  </si>
  <si>
    <t xml:space="preserve">ack</t>
  </si>
  <si>
    <t xml:space="preserve">ダンプファイル出力</t>
  </si>
  <si>
    <t xml:space="preserve">#wr</t>
  </si>
  <si>
    <t xml:space="preserve">initial begin</t>
  </si>
  <si>
    <t xml:space="preserve">#sp+</t>
  </si>
  <si>
    <t xml:space="preserve">$$dumpfile("$output_dir$\cpu_test.dump");</t>
  </si>
  <si>
    <t xml:space="preserve">$$dumpvars(1,cpu_for_testbench);</t>
  </si>
  <si>
    <t xml:space="preserve">$$dumpvars(1,target);</t>
  </si>
  <si>
    <t xml:space="preserve">#sp-</t>
  </si>
  <si>
    <t xml:space="preserve">end</t>
  </si>
  <si>
    <t xml:space="preserve">ポート定義</t>
  </si>
  <si>
    <t xml:space="preserve">%port</t>
  </si>
  <si>
    <t xml:space="preserve">output</t>
  </si>
  <si>
    <t xml:space="preserve">reg</t>
  </si>
  <si>
    <t xml:space="preserve">リセット出力</t>
  </si>
  <si>
    <t xml:space="preserve">rst = 1'b1;</t>
  </si>
  <si>
    <t xml:space="preserve">#10000</t>
  </si>
  <si>
    <t xml:space="preserve">rst = 1'b0;</t>
  </si>
  <si>
    <t xml:space="preserve">クロックジェネレータ</t>
  </si>
  <si>
    <t xml:space="preserve">wire</t>
  </si>
  <si>
    <t xml:space="preserve">ターゲット用</t>
  </si>
  <si>
    <t xml:space="preserve">テストベンチ用</t>
  </si>
  <si>
    <t xml:space="preserve">クロック名</t>
  </si>
  <si>
    <t xml:space="preserve">周期</t>
  </si>
  <si>
    <t xml:space="preserve">変化位置１</t>
  </si>
  <si>
    <r>
      <rPr>
        <sz val="11"/>
        <rFont val="ＭＳ Ｐ明朝"/>
        <family val="1"/>
        <charset val="128"/>
      </rPr>
      <t xml:space="preserve">変化位置</t>
    </r>
    <r>
      <rPr>
        <sz val="11"/>
        <rFont val="ＭＳ Ｐ明朝"/>
        <family val="1"/>
      </rPr>
      <t xml:space="preserve">2</t>
    </r>
  </si>
  <si>
    <t xml:space="preserve">初期値</t>
  </si>
  <si>
    <t xml:space="preserve">アサイン信号名</t>
  </si>
  <si>
    <t xml:space="preserve">#clk</t>
  </si>
  <si>
    <r>
      <rPr>
        <sz val="11"/>
        <rFont val="ＭＳ Ｐゴシック"/>
        <family val="3"/>
      </rPr>
      <t xml:space="preserve">CPU</t>
    </r>
    <r>
      <rPr>
        <sz val="11"/>
        <rFont val="ＭＳ Ｐゴシック"/>
        <family val="3"/>
        <charset val="128"/>
      </rPr>
      <t xml:space="preserve">テスト用ターゲット</t>
    </r>
  </si>
  <si>
    <t xml:space="preserve">初期処理</t>
  </si>
  <si>
    <t xml:space="preserve">#sp0</t>
  </si>
  <si>
    <t xml:space="preserve">// # Initialize ######################</t>
  </si>
  <si>
    <t xml:space="preserve">#1</t>
  </si>
  <si>
    <t xml:space="preserve">target_task_rst;</t>
  </si>
  <si>
    <t xml:space="preserve">%for</t>
  </si>
  <si>
    <t xml:space="preserve">i</t>
  </si>
  <si>
    <t xml:space="preserve">irq_task$i$_rst;</t>
  </si>
  <si>
    <t xml:space="preserve">%endfor</t>
  </si>
  <si>
    <t xml:space="preserve">信号名</t>
  </si>
  <si>
    <t xml:space="preserve">in/out</t>
  </si>
  <si>
    <t xml:space="preserve">ビット数</t>
  </si>
  <si>
    <t xml:space="preserve">reg/wire</t>
  </si>
  <si>
    <t xml:space="preserve">コメント</t>
  </si>
  <si>
    <t xml:space="preserve">input</t>
  </si>
  <si>
    <t xml:space="preserve">クロック</t>
  </si>
  <si>
    <r>
      <rPr>
        <sz val="11"/>
        <rFont val="ＭＳ Ｐゴシック"/>
        <family val="3"/>
        <charset val="128"/>
      </rPr>
      <t xml:space="preserve">クロック</t>
    </r>
    <r>
      <rPr>
        <sz val="11"/>
        <rFont val="ＭＳ Ｐゴシック"/>
        <family val="3"/>
      </rPr>
      <t xml:space="preserve">(</t>
    </r>
    <r>
      <rPr>
        <sz val="11"/>
        <rFont val="ＭＳ Ｐゴシック"/>
        <family val="3"/>
        <charset val="128"/>
      </rPr>
      <t xml:space="preserve">信号出力用</t>
    </r>
    <r>
      <rPr>
        <sz val="11"/>
        <rFont val="ＭＳ Ｐゴシック"/>
        <family val="3"/>
      </rPr>
      <t xml:space="preserve">)</t>
    </r>
  </si>
  <si>
    <t xml:space="preserve">リセット</t>
  </si>
  <si>
    <t xml:space="preserve">irq$i$</t>
  </si>
  <si>
    <t xml:space="preserve">割り込み</t>
  </si>
  <si>
    <t xml:space="preserve">irq_clear$i$</t>
  </si>
  <si>
    <t xml:space="preserve">割り込みクリア</t>
  </si>
  <si>
    <t xml:space="preserve">セレクト</t>
  </si>
  <si>
    <t xml:space="preserve">ライトイネーブル信号</t>
  </si>
  <si>
    <t xml:space="preserve">アドレス</t>
  </si>
  <si>
    <t xml:space="preserve">データ出力</t>
  </si>
  <si>
    <t xml:space="preserve">データ入力</t>
  </si>
  <si>
    <t xml:space="preserve">応答</t>
  </si>
  <si>
    <t xml:space="preserve">メモリ、レジスタ</t>
  </si>
  <si>
    <t xml:space="preserve">#reg</t>
  </si>
  <si>
    <t xml:space="preserve">mem</t>
  </si>
  <si>
    <t xml:space="preserve">8/65536</t>
  </si>
  <si>
    <t xml:space="preserve">cnt</t>
  </si>
  <si>
    <t xml:space="preserve">cnt$i$</t>
  </si>
  <si>
    <t xml:space="preserve">#status</t>
  </si>
  <si>
    <t xml:space="preserve">target_task</t>
  </si>
  <si>
    <t xml:space="preserve">#st</t>
  </si>
  <si>
    <t xml:space="preserve">rst_wait</t>
  </si>
  <si>
    <t xml:space="preserve">#if</t>
  </si>
  <si>
    <t xml:space="preserve">~rst</t>
  </si>
  <si>
    <t xml:space="preserve">#cmd</t>
  </si>
  <si>
    <t xml:space="preserve">$$display("target start!!\n");</t>
  </si>
  <si>
    <t xml:space="preserve">#go</t>
  </si>
  <si>
    <t xml:space="preserve">main</t>
  </si>
  <si>
    <t xml:space="preserve">#endif</t>
  </si>
  <si>
    <t xml:space="preserve">cs &amp; we</t>
  </si>
  <si>
    <t xml:space="preserve">ライト</t>
  </si>
  <si>
    <t xml:space="preserve">cnt = $$random;</t>
  </si>
  <si>
    <t xml:space="preserve">wait</t>
  </si>
  <si>
    <t xml:space="preserve">cs &amp; ~we</t>
  </si>
  <si>
    <t xml:space="preserve">リード</t>
  </si>
  <si>
    <t xml:space="preserve">cnt == 0</t>
  </si>
  <si>
    <t xml:space="preserve">mem[adr] = dtin;</t>
  </si>
  <si>
    <t xml:space="preserve">#else</t>
  </si>
  <si>
    <t xml:space="preserve">#chg</t>
  </si>
  <si>
    <t xml:space="preserve">0:mem[adr]</t>
  </si>
  <si>
    <t xml:space="preserve">1:8'hxx</t>
  </si>
  <si>
    <t xml:space="preserve">0:1'b1</t>
  </si>
  <si>
    <t xml:space="preserve">1:1'b0</t>
  </si>
  <si>
    <t xml:space="preserve">wait2</t>
  </si>
  <si>
    <t xml:space="preserve">cnt = cnt - 1;</t>
  </si>
  <si>
    <t xml:space="preserve">irq_task$i$</t>
  </si>
  <si>
    <t xml:space="preserve">~irq$i$</t>
  </si>
  <si>
    <t xml:space="preserve">cnt$i$ = $$random+100;</t>
  </si>
  <si>
    <t xml:space="preserve">irq$i$ = 0;</t>
  </si>
  <si>
    <t xml:space="preserve">cnt$i$ == 0</t>
  </si>
  <si>
    <t xml:space="preserve">irq$i$ = 1;</t>
  </si>
  <si>
    <t xml:space="preserve">cnt$i$ = cnt$i$ - 1;</t>
  </si>
  <si>
    <r>
      <rPr>
        <sz val="11"/>
        <rFont val="ＭＳ Ｐゴシック"/>
        <family val="3"/>
      </rPr>
      <t xml:space="preserve">CSV-Verilog MakerII</t>
    </r>
    <r>
      <rPr>
        <sz val="11"/>
        <rFont val="ＭＳ Ｐゴシック"/>
        <family val="3"/>
        <charset val="128"/>
      </rPr>
      <t xml:space="preserve">用クラス</t>
    </r>
  </si>
  <si>
    <t xml:space="preserve">%class</t>
  </si>
  <si>
    <t xml:space="preserve">%st</t>
  </si>
  <si>
    <t xml:space="preserve">別名定義</t>
  </si>
  <si>
    <t xml:space="preserve">%alias</t>
  </si>
  <si>
    <t xml:space="preserve">%%port</t>
  </si>
  <si>
    <t xml:space="preserve">%%do</t>
  </si>
  <si>
    <t xml:space="preserve">port_define</t>
  </si>
  <si>
    <t xml:space="preserve">~csvveri_C</t>
  </si>
  <si>
    <t xml:space="preserve">ポート宣言</t>
  </si>
  <si>
    <t xml:space="preserve">%var</t>
  </si>
  <si>
    <t xml:space="preserve">line</t>
  </si>
  <si>
    <t xml:space="preserve">io</t>
  </si>
  <si>
    <t xml:space="preserve">size</t>
  </si>
  <si>
    <t xml:space="preserve">kbn</t>
  </si>
  <si>
    <t xml:space="preserve">parm</t>
  </si>
  <si>
    <t xml:space="preserve">0</t>
  </si>
  <si>
    <t xml:space="preserve">$argc$</t>
  </si>
  <si>
    <t xml:space="preserve">%aryrd</t>
  </si>
  <si>
    <t xml:space="preserve">argv</t>
  </si>
  <si>
    <t xml:space="preserve">$i$</t>
  </si>
  <si>
    <t xml:space="preserve">%if</t>
  </si>
  <si>
    <t xml:space="preserve">$argv$</t>
  </si>
  <si>
    <t xml:space="preserve">%continue</t>
  </si>
  <si>
    <t xml:space="preserve">%endif</t>
  </si>
  <si>
    <t xml:space="preserve">%arywr</t>
  </si>
  <si>
    <t xml:space="preserve">$cnt$</t>
  </si>
  <si>
    <t xml:space="preserve">$#%02d#cnt+1$</t>
  </si>
  <si>
    <t xml:space="preserve">#$io$</t>
  </si>
  <si>
    <t xml:space="preserve">$line$</t>
  </si>
  <si>
    <t xml:space="preserve">%noif</t>
  </si>
  <si>
    <t xml:space="preserve">#wire</t>
  </si>
  <si>
    <t xml:space="preserve">$size$</t>
  </si>
  <si>
    <t xml:space="preserve">$%parm</t>
  </si>
  <si>
    <t xml:space="preserve">%else</t>
  </si>
  <si>
    <t xml:space="preserve">#$kbn$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</si>
</sst>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11"/>
      <name val="ＭＳ Ｐゴシック"/>
      <family val="3"/>
    </font>
    <font>
      <sz val="11"/>
      <name val="ＭＳ Ｐ明朝"/>
      <family val="1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doc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66" activeCellId="0" sqref="C66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2.75"/>
    <col collapsed="false" customWidth="true" hidden="false" outlineLevel="0" max="3" min="3" style="0" width="18.62"/>
    <col collapsed="false" customWidth="true" hidden="false" outlineLevel="0" max="4" min="4" style="0" width="23.74"/>
    <col collapsed="false" customWidth="true" hidden="false" outlineLevel="0" max="5" min="5" style="0" width="19.49"/>
    <col collapsed="false" customWidth="true" hidden="false" outlineLevel="0" max="6" min="6" style="0" width="3.49"/>
    <col collapsed="false" customWidth="true" hidden="false" outlineLevel="0" max="7" min="7" style="0" width="6.12"/>
    <col collapsed="false" customWidth="true" hidden="false" outlineLevel="0" max="8" min="8" style="0" width="25.49"/>
  </cols>
  <sheetData>
    <row r="1" customFormat="false" ht="13.5" hidden="false" customHeight="false" outlineLevel="0" collapsed="false">
      <c r="B1" s="1" t="s">
        <v>0</v>
      </c>
      <c r="C1" s="2"/>
      <c r="D1" s="2"/>
      <c r="E1" s="2"/>
      <c r="F1" s="2"/>
      <c r="G1" s="2"/>
      <c r="H1" s="3"/>
    </row>
    <row r="2" customFormat="false" ht="13.5" hidden="false" customHeight="false" outlineLevel="0" collapsed="false">
      <c r="B2" s="4" t="s">
        <v>0</v>
      </c>
      <c r="C2" s="5" t="s">
        <v>1</v>
      </c>
      <c r="D2" s="5"/>
      <c r="E2" s="5"/>
      <c r="F2" s="5"/>
      <c r="G2" s="5"/>
      <c r="H2" s="6"/>
    </row>
    <row r="3" customFormat="false" ht="14.25" hidden="false" customHeight="false" outlineLevel="0" collapsed="false">
      <c r="B3" s="7" t="s">
        <v>0</v>
      </c>
      <c r="C3" s="8"/>
      <c r="D3" s="8"/>
      <c r="E3" s="8"/>
      <c r="F3" s="8"/>
      <c r="G3" s="8"/>
      <c r="H3" s="9"/>
    </row>
    <row r="5" customFormat="false" ht="13.5" hidden="false" customHeight="false" outlineLevel="0" collapsed="false">
      <c r="A5" s="10"/>
      <c r="B5" s="11" t="s">
        <v>2</v>
      </c>
      <c r="C5" s="11" t="s">
        <v>3</v>
      </c>
      <c r="D5" s="10"/>
      <c r="F5" s="12"/>
      <c r="H5" s="13"/>
    </row>
    <row r="6" customFormat="false" ht="13.5" hidden="false" customHeight="false" outlineLevel="0" collapsed="false">
      <c r="A6" s="10"/>
      <c r="B6" s="11" t="s">
        <v>4</v>
      </c>
      <c r="C6" s="11" t="s">
        <v>5</v>
      </c>
      <c r="D6" s="11" t="s">
        <v>6</v>
      </c>
      <c r="F6" s="10"/>
      <c r="H6" s="10"/>
    </row>
    <row r="7" customFormat="false" ht="13.5" hidden="false" customHeight="false" outlineLevel="0" collapsed="false">
      <c r="A7" s="10"/>
    </row>
    <row r="8" customFormat="false" ht="14.25" hidden="false" customHeight="false" outlineLevel="0" collapsed="false">
      <c r="A8" s="14"/>
      <c r="I8" s="14"/>
      <c r="J8" s="14"/>
      <c r="K8" s="14"/>
    </row>
    <row r="9" customFormat="false" ht="14.25" hidden="false" customHeight="false" outlineLevel="0" collapsed="false">
      <c r="B9" s="15" t="s">
        <v>0</v>
      </c>
      <c r="C9" s="16" t="s">
        <v>7</v>
      </c>
      <c r="D9" s="16"/>
      <c r="E9" s="16"/>
      <c r="F9" s="16"/>
      <c r="G9" s="16"/>
      <c r="H9" s="17"/>
    </row>
    <row r="10" customFormat="false" ht="13.5" hidden="false" customHeight="false" outlineLevel="0" collapsed="false">
      <c r="B10" s="18" t="s">
        <v>8</v>
      </c>
      <c r="C10" s="18" t="s">
        <v>9</v>
      </c>
      <c r="D10" s="19" t="s">
        <v>10</v>
      </c>
      <c r="G10" s="18" t="s">
        <v>0</v>
      </c>
      <c r="H10" s="0" t="s">
        <v>11</v>
      </c>
    </row>
    <row r="11" customFormat="false" ht="14.25" hidden="false" customHeight="false" outlineLevel="0" collapsed="false"/>
    <row r="12" customFormat="false" ht="14.25" hidden="false" customHeight="false" outlineLevel="0" collapsed="false">
      <c r="B12" s="15" t="s">
        <v>0</v>
      </c>
      <c r="C12" s="16" t="s">
        <v>12</v>
      </c>
      <c r="D12" s="16"/>
      <c r="E12" s="16"/>
      <c r="F12" s="16"/>
      <c r="G12" s="16"/>
      <c r="H12" s="17"/>
    </row>
    <row r="13" customFormat="false" ht="13.5" hidden="false" customHeight="false" outlineLevel="0" collapsed="false">
      <c r="A13" s="18" t="s">
        <v>0</v>
      </c>
      <c r="B13" s="18" t="s">
        <v>13</v>
      </c>
      <c r="C13" s="18" t="s">
        <v>14</v>
      </c>
    </row>
    <row r="14" customFormat="false" ht="14.25" hidden="false" customHeight="false" outlineLevel="0" collapsed="false"/>
    <row r="15" customFormat="false" ht="14.25" hidden="false" customHeight="false" outlineLevel="0" collapsed="false">
      <c r="B15" s="15" t="s">
        <v>0</v>
      </c>
      <c r="C15" s="20" t="s">
        <v>15</v>
      </c>
      <c r="D15" s="16"/>
      <c r="E15" s="16"/>
      <c r="F15" s="16"/>
      <c r="G15" s="16"/>
      <c r="H15" s="17"/>
    </row>
    <row r="16" customFormat="false" ht="13.5" hidden="false" customHeight="false" outlineLevel="0" collapsed="false">
      <c r="B16" s="21" t="s">
        <v>16</v>
      </c>
      <c r="C16" s="21" t="s">
        <v>6</v>
      </c>
      <c r="D16" s="14" t="str">
        <f aca="false">CONCATENATE("#c:\csv\",G16,"Z.csv")</f>
        <v>#c:\csv\targetZ.csv</v>
      </c>
      <c r="E16" s="21" t="str">
        <f aca="false">CONCATENATE("$output_dir$\",G16,".v")</f>
        <v>$output_dir$\target.v</v>
      </c>
      <c r="F16" s="21" t="s">
        <v>0</v>
      </c>
      <c r="G16" s="22" t="s">
        <v>17</v>
      </c>
      <c r="H16" s="23" t="s">
        <v>18</v>
      </c>
    </row>
    <row r="17" customFormat="false" ht="13.5" hidden="false" customHeight="false" outlineLevel="0" collapsed="false">
      <c r="B17" s="11" t="s">
        <v>2</v>
      </c>
      <c r="C17" s="0" t="str">
        <f aca="false">CONCATENATE(G16,".csv")</f>
        <v>target.csv</v>
      </c>
      <c r="D17" s="21"/>
      <c r="E17" s="21"/>
      <c r="F17" s="21"/>
      <c r="G17" s="14"/>
      <c r="H17" s="14"/>
    </row>
    <row r="18" customFormat="false" ht="13.5" hidden="false" customHeight="false" outlineLevel="0" collapsed="false">
      <c r="B18" s="21" t="s">
        <v>16</v>
      </c>
      <c r="C18" s="21" t="s">
        <v>6</v>
      </c>
      <c r="D18" s="14" t="str">
        <f aca="false">CONCATENATE("#c:\csv\",G18,"Z.csv")</f>
        <v>#c:\csv\clkZ.csv</v>
      </c>
      <c r="E18" s="21" t="str">
        <f aca="false">CONCATENATE("$output_dir$\",G18,".v")</f>
        <v>$output_dir$\clk.v</v>
      </c>
      <c r="F18" s="21" t="s">
        <v>0</v>
      </c>
      <c r="G18" s="22" t="s">
        <v>19</v>
      </c>
      <c r="H18" s="23" t="s">
        <v>20</v>
      </c>
    </row>
    <row r="19" customFormat="false" ht="13.5" hidden="false" customHeight="false" outlineLevel="0" collapsed="false">
      <c r="B19" s="11" t="s">
        <v>2</v>
      </c>
      <c r="C19" s="0" t="str">
        <f aca="false">CONCATENATE(G18,".csv")</f>
        <v>clk.csv</v>
      </c>
      <c r="D19" s="21"/>
      <c r="E19" s="21"/>
      <c r="F19" s="21"/>
      <c r="G19" s="14"/>
      <c r="H19" s="14"/>
    </row>
    <row r="20" customFormat="false" ht="13.5" hidden="false" customHeight="false" outlineLevel="0" collapsed="false">
      <c r="B20" s="21" t="s">
        <v>16</v>
      </c>
      <c r="C20" s="21" t="s">
        <v>6</v>
      </c>
      <c r="D20" s="14" t="str">
        <f aca="false">CONCATENATE("#c:\csv\",G20,"Z.csv")</f>
        <v>#c:\csv\rstZ.csv</v>
      </c>
      <c r="E20" s="21" t="str">
        <f aca="false">CONCATENATE("$output_dir$\",G20,".v")</f>
        <v>$output_dir$\rst.v</v>
      </c>
      <c r="F20" s="21" t="s">
        <v>0</v>
      </c>
      <c r="G20" s="22" t="s">
        <v>21</v>
      </c>
      <c r="H20" s="23" t="s">
        <v>22</v>
      </c>
    </row>
    <row r="21" customFormat="false" ht="13.5" hidden="false" customHeight="false" outlineLevel="0" collapsed="false">
      <c r="B21" s="11" t="s">
        <v>2</v>
      </c>
      <c r="C21" s="0" t="str">
        <f aca="false">CONCATENATE(G20,".csv")</f>
        <v>rst.csv</v>
      </c>
      <c r="D21" s="21"/>
      <c r="E21" s="21"/>
      <c r="F21" s="21"/>
      <c r="G21" s="14"/>
      <c r="H21" s="14"/>
    </row>
    <row r="22" customFormat="false" ht="13.5" hidden="false" customHeight="false" outlineLevel="0" collapsed="false">
      <c r="B22" s="21" t="s">
        <v>16</v>
      </c>
      <c r="C22" s="21" t="s">
        <v>6</v>
      </c>
      <c r="D22" s="14" t="str">
        <f aca="false">CONCATENATE("#c:\csv\",G22,"Z.csv")</f>
        <v>#c:\csv\topZ.csv</v>
      </c>
      <c r="E22" s="21" t="str">
        <f aca="false">CONCATENATE("$output_dir$\",G22,".v")</f>
        <v>$output_dir$\top.v</v>
      </c>
      <c r="F22" s="21" t="s">
        <v>0</v>
      </c>
      <c r="G22" s="22" t="s">
        <v>23</v>
      </c>
      <c r="H22" s="23" t="s">
        <v>24</v>
      </c>
    </row>
    <row r="23" customFormat="false" ht="13.5" hidden="false" customHeight="false" outlineLevel="0" collapsed="false">
      <c r="B23" s="11" t="s">
        <v>2</v>
      </c>
      <c r="C23" s="0" t="str">
        <f aca="false">CONCATENATE(G22,".csv")</f>
        <v>top.csv</v>
      </c>
      <c r="D23" s="21"/>
      <c r="E23" s="21"/>
      <c r="F23" s="21"/>
      <c r="G23" s="14"/>
      <c r="H23" s="14"/>
    </row>
    <row r="24" customFormat="false" ht="13.5" hidden="false" customHeight="false" outlineLevel="0" collapsed="false">
      <c r="B24" s="11" t="s">
        <v>2</v>
      </c>
      <c r="C24" s="18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25" activeCellId="0" sqref="I25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2.49"/>
    <col collapsed="false" customWidth="true" hidden="false" outlineLevel="0" max="3" min="3" style="0" width="8.12"/>
    <col collapsed="false" customWidth="true" hidden="false" outlineLevel="0" max="4" min="4" style="0" width="31.49"/>
    <col collapsed="false" customWidth="true" hidden="false" outlineLevel="0" max="5" min="5" style="0" width="17.86"/>
    <col collapsed="false" customWidth="true" hidden="false" outlineLevel="0" max="6" min="6" style="0" width="8.12"/>
    <col collapsed="false" customWidth="true" hidden="false" outlineLevel="0" max="8" min="7" style="0" width="5.12"/>
  </cols>
  <sheetData>
    <row r="1" customFormat="false" ht="13.5" hidden="false" customHeight="false" outlineLevel="0" collapsed="false">
      <c r="B1" s="24" t="s">
        <v>0</v>
      </c>
      <c r="C1" s="25"/>
      <c r="D1" s="25"/>
      <c r="E1" s="25"/>
      <c r="F1" s="25"/>
      <c r="G1" s="25"/>
      <c r="H1" s="26"/>
    </row>
    <row r="2" customFormat="false" ht="13.5" hidden="false" customHeight="false" outlineLevel="0" collapsed="false">
      <c r="B2" s="27" t="s">
        <v>0</v>
      </c>
      <c r="C2" s="28" t="s">
        <v>26</v>
      </c>
      <c r="D2" s="28"/>
      <c r="E2" s="28"/>
      <c r="F2" s="28"/>
      <c r="G2" s="28"/>
      <c r="H2" s="29"/>
    </row>
    <row r="3" customFormat="false" ht="14.25" hidden="false" customHeight="false" outlineLevel="0" collapsed="false">
      <c r="B3" s="30" t="s">
        <v>0</v>
      </c>
      <c r="C3" s="31"/>
      <c r="D3" s="31"/>
      <c r="E3" s="31"/>
      <c r="F3" s="31"/>
      <c r="G3" s="31"/>
      <c r="H3" s="32"/>
    </row>
    <row r="5" customFormat="false" ht="13.5" hidden="false" customHeight="false" outlineLevel="0" collapsed="false">
      <c r="B5" s="11" t="s">
        <v>27</v>
      </c>
      <c r="C5" s="11" t="s">
        <v>23</v>
      </c>
    </row>
    <row r="6" customFormat="false" ht="14.25" hidden="false" customHeight="false" outlineLevel="0" collapsed="false"/>
    <row r="7" customFormat="false" ht="14.25" hidden="false" customHeight="false" outlineLevel="0" collapsed="false">
      <c r="B7" s="1" t="s">
        <v>0</v>
      </c>
      <c r="C7" s="2" t="s">
        <v>28</v>
      </c>
      <c r="D7" s="2"/>
      <c r="E7" s="2"/>
      <c r="F7" s="2"/>
      <c r="G7" s="2"/>
      <c r="H7" s="3"/>
    </row>
    <row r="8" customFormat="false" ht="13.5" hidden="false" customHeight="false" outlineLevel="0" collapsed="false">
      <c r="B8" s="33" t="s">
        <v>29</v>
      </c>
      <c r="C8" s="34" t="s">
        <v>30</v>
      </c>
      <c r="D8" s="34" t="s">
        <v>31</v>
      </c>
      <c r="E8" s="34" t="str">
        <f aca="false">E9</f>
        <v>cpu_for_testbench</v>
      </c>
      <c r="F8" s="34" t="str">
        <f aca="false">F9</f>
        <v>target</v>
      </c>
      <c r="G8" s="34" t="str">
        <f aca="false">G9</f>
        <v>clk</v>
      </c>
      <c r="H8" s="35" t="str">
        <f aca="false">H9</f>
        <v>rst</v>
      </c>
    </row>
    <row r="9" customFormat="false" ht="13.5" hidden="false" customHeight="false" outlineLevel="0" collapsed="false">
      <c r="B9" s="36" t="s">
        <v>32</v>
      </c>
      <c r="C9" s="37"/>
      <c r="D9" s="37"/>
      <c r="E9" s="38" t="s">
        <v>33</v>
      </c>
      <c r="F9" s="39" t="s">
        <v>17</v>
      </c>
      <c r="G9" s="39" t="s">
        <v>19</v>
      </c>
      <c r="H9" s="40" t="s">
        <v>21</v>
      </c>
    </row>
    <row r="10" customFormat="false" ht="13.5" hidden="false" customHeight="false" outlineLevel="0" collapsed="false">
      <c r="B10" s="41" t="s">
        <v>34</v>
      </c>
      <c r="C10" s="42" t="n">
        <v>1</v>
      </c>
      <c r="D10" s="43" t="s">
        <v>19</v>
      </c>
      <c r="E10" s="43" t="s">
        <v>19</v>
      </c>
      <c r="F10" s="44" t="s">
        <v>19</v>
      </c>
      <c r="G10" s="44" t="s">
        <v>19</v>
      </c>
      <c r="H10" s="45"/>
    </row>
    <row r="11" customFormat="false" ht="13.5" hidden="false" customHeight="false" outlineLevel="0" collapsed="false">
      <c r="B11" s="41" t="s">
        <v>34</v>
      </c>
      <c r="C11" s="42" t="n">
        <v>1</v>
      </c>
      <c r="D11" s="43" t="s">
        <v>35</v>
      </c>
      <c r="E11" s="43" t="s">
        <v>35</v>
      </c>
      <c r="F11" s="43" t="s">
        <v>35</v>
      </c>
      <c r="G11" s="43" t="s">
        <v>35</v>
      </c>
      <c r="H11" s="46"/>
    </row>
    <row r="12" customFormat="false" ht="13.5" hidden="false" customHeight="false" outlineLevel="0" collapsed="false">
      <c r="B12" s="41" t="s">
        <v>34</v>
      </c>
      <c r="C12" s="42" t="s">
        <v>36</v>
      </c>
      <c r="D12" s="43" t="s">
        <v>21</v>
      </c>
      <c r="E12" s="43" t="s">
        <v>21</v>
      </c>
      <c r="F12" s="43" t="s">
        <v>21</v>
      </c>
      <c r="G12" s="47"/>
      <c r="H12" s="48" t="s">
        <v>21</v>
      </c>
    </row>
    <row r="13" customFormat="false" ht="13.5" hidden="false" customHeight="false" outlineLevel="0" collapsed="false">
      <c r="B13" s="41" t="s">
        <v>34</v>
      </c>
      <c r="C13" s="42" t="s">
        <v>36</v>
      </c>
      <c r="D13" s="43" t="s">
        <v>37</v>
      </c>
      <c r="F13" s="43" t="s">
        <v>37</v>
      </c>
      <c r="G13" s="49"/>
      <c r="H13" s="50"/>
    </row>
    <row r="14" customFormat="false" ht="13.5" hidden="false" customHeight="false" outlineLevel="0" collapsed="false">
      <c r="B14" s="41" t="s">
        <v>34</v>
      </c>
      <c r="C14" s="42" t="s">
        <v>36</v>
      </c>
      <c r="D14" s="43" t="s">
        <v>38</v>
      </c>
      <c r="F14" s="43" t="s">
        <v>38</v>
      </c>
      <c r="G14" s="47"/>
      <c r="H14" s="48"/>
    </row>
    <row r="15" customFormat="false" ht="13.5" hidden="false" customHeight="false" outlineLevel="0" collapsed="false">
      <c r="B15" s="41" t="s">
        <v>34</v>
      </c>
      <c r="C15" s="42" t="s">
        <v>36</v>
      </c>
      <c r="D15" s="43" t="s">
        <v>39</v>
      </c>
      <c r="E15" s="43"/>
      <c r="F15" s="43" t="s">
        <v>39</v>
      </c>
      <c r="G15" s="47"/>
      <c r="H15" s="48"/>
    </row>
    <row r="16" customFormat="false" ht="13.5" hidden="false" customHeight="false" outlineLevel="0" collapsed="false">
      <c r="B16" s="41" t="s">
        <v>34</v>
      </c>
      <c r="C16" s="42" t="s">
        <v>36</v>
      </c>
      <c r="D16" s="43" t="s">
        <v>40</v>
      </c>
      <c r="E16" s="43"/>
      <c r="F16" s="43" t="s">
        <v>40</v>
      </c>
      <c r="G16" s="47"/>
      <c r="H16" s="48"/>
    </row>
    <row r="17" customFormat="false" ht="13.5" hidden="false" customHeight="false" outlineLevel="0" collapsed="false">
      <c r="B17" s="41" t="s">
        <v>34</v>
      </c>
      <c r="C17" s="42" t="s">
        <v>36</v>
      </c>
      <c r="D17" s="43" t="s">
        <v>41</v>
      </c>
      <c r="F17" s="43" t="s">
        <v>41</v>
      </c>
      <c r="G17" s="47"/>
      <c r="H17" s="48"/>
    </row>
    <row r="18" customFormat="false" ht="13.5" hidden="false" customHeight="false" outlineLevel="0" collapsed="false">
      <c r="B18" s="41" t="s">
        <v>34</v>
      </c>
      <c r="C18" s="42" t="s">
        <v>36</v>
      </c>
      <c r="D18" s="43" t="s">
        <v>42</v>
      </c>
      <c r="E18" s="43"/>
      <c r="F18" s="43" t="s">
        <v>42</v>
      </c>
      <c r="G18" s="47"/>
      <c r="H18" s="48"/>
    </row>
    <row r="19" customFormat="false" ht="13.5" hidden="false" customHeight="false" outlineLevel="0" collapsed="false">
      <c r="B19" s="41" t="s">
        <v>34</v>
      </c>
      <c r="C19" s="42" t="s">
        <v>36</v>
      </c>
      <c r="D19" s="43" t="s">
        <v>43</v>
      </c>
      <c r="E19" s="43"/>
      <c r="F19" s="43" t="s">
        <v>43</v>
      </c>
      <c r="G19" s="47"/>
      <c r="H19" s="48"/>
    </row>
    <row r="20" customFormat="false" ht="13.5" hidden="false" customHeight="false" outlineLevel="0" collapsed="false">
      <c r="B20" s="41" t="s">
        <v>34</v>
      </c>
      <c r="C20" s="42" t="s">
        <v>36</v>
      </c>
      <c r="D20" s="43" t="s">
        <v>44</v>
      </c>
      <c r="E20" s="43"/>
      <c r="F20" s="43" t="s">
        <v>44</v>
      </c>
      <c r="G20" s="47"/>
      <c r="H20" s="48"/>
    </row>
    <row r="21" customFormat="false" ht="13.5" hidden="false" customHeight="false" outlineLevel="0" collapsed="false">
      <c r="B21" s="41" t="s">
        <v>34</v>
      </c>
      <c r="C21" s="42"/>
      <c r="D21" s="43" t="s">
        <v>45</v>
      </c>
      <c r="E21" s="43" t="s">
        <v>46</v>
      </c>
      <c r="F21" s="43"/>
      <c r="G21" s="47"/>
      <c r="H21" s="48"/>
    </row>
    <row r="22" customFormat="false" ht="13.5" hidden="false" customHeight="false" outlineLevel="0" collapsed="false">
      <c r="B22" s="41" t="s">
        <v>34</v>
      </c>
      <c r="C22" s="42"/>
      <c r="D22" s="43" t="s">
        <v>47</v>
      </c>
      <c r="E22" s="43" t="s">
        <v>48</v>
      </c>
      <c r="F22" s="43"/>
      <c r="G22" s="47"/>
      <c r="H22" s="48"/>
    </row>
    <row r="23" customFormat="false" ht="13.5" hidden="false" customHeight="false" outlineLevel="0" collapsed="false">
      <c r="B23" s="41" t="s">
        <v>34</v>
      </c>
      <c r="C23" s="42" t="n">
        <v>1</v>
      </c>
      <c r="D23" s="43" t="s">
        <v>49</v>
      </c>
      <c r="E23" s="43" t="s">
        <v>49</v>
      </c>
      <c r="F23" s="43" t="s">
        <v>49</v>
      </c>
      <c r="G23" s="47"/>
      <c r="H23" s="48"/>
    </row>
    <row r="24" customFormat="false" ht="13.5" hidden="false" customHeight="false" outlineLevel="0" collapsed="false">
      <c r="B24" s="41" t="s">
        <v>34</v>
      </c>
      <c r="C24" s="42" t="n">
        <v>1</v>
      </c>
      <c r="D24" s="43" t="s">
        <v>50</v>
      </c>
      <c r="E24" s="43" t="s">
        <v>50</v>
      </c>
      <c r="F24" s="43" t="s">
        <v>50</v>
      </c>
      <c r="G24" s="47"/>
      <c r="H24" s="48"/>
    </row>
    <row r="25" customFormat="false" ht="13.5" hidden="false" customHeight="false" outlineLevel="0" collapsed="false">
      <c r="B25" s="41" t="s">
        <v>34</v>
      </c>
      <c r="C25" s="42" t="s">
        <v>51</v>
      </c>
      <c r="D25" s="43" t="s">
        <v>52</v>
      </c>
      <c r="E25" s="43" t="s">
        <v>52</v>
      </c>
      <c r="F25" s="43" t="s">
        <v>52</v>
      </c>
      <c r="G25" s="47"/>
      <c r="H25" s="48"/>
    </row>
    <row r="26" customFormat="false" ht="13.5" hidden="false" customHeight="false" outlineLevel="0" collapsed="false">
      <c r="B26" s="41" t="s">
        <v>34</v>
      </c>
      <c r="C26" s="42" t="s">
        <v>53</v>
      </c>
      <c r="D26" s="43" t="s">
        <v>54</v>
      </c>
      <c r="E26" s="43" t="s">
        <v>55</v>
      </c>
      <c r="F26" s="43" t="s">
        <v>54</v>
      </c>
      <c r="G26" s="47"/>
      <c r="H26" s="48"/>
    </row>
    <row r="27" customFormat="false" ht="13.5" hidden="false" customHeight="false" outlineLevel="0" collapsed="false">
      <c r="B27" s="41" t="s">
        <v>34</v>
      </c>
      <c r="C27" s="42" t="s">
        <v>53</v>
      </c>
      <c r="D27" s="43" t="s">
        <v>55</v>
      </c>
      <c r="E27" s="43" t="s">
        <v>54</v>
      </c>
      <c r="F27" s="43" t="s">
        <v>55</v>
      </c>
      <c r="G27" s="47"/>
      <c r="H27" s="48"/>
    </row>
    <row r="28" customFormat="false" ht="14.25" hidden="false" customHeight="false" outlineLevel="0" collapsed="false">
      <c r="B28" s="51" t="s">
        <v>34</v>
      </c>
      <c r="C28" s="52" t="s">
        <v>36</v>
      </c>
      <c r="D28" s="53" t="s">
        <v>56</v>
      </c>
      <c r="E28" s="53" t="s">
        <v>56</v>
      </c>
      <c r="F28" s="53" t="s">
        <v>56</v>
      </c>
      <c r="G28" s="54"/>
      <c r="H28" s="55"/>
    </row>
    <row r="30" customFormat="false" ht="13.5" hidden="false" customHeight="false" outlineLevel="0" collapsed="false">
      <c r="B30" s="10"/>
      <c r="C30" s="56"/>
    </row>
    <row r="31" customFormat="false" ht="13.5" hidden="false" customHeight="false" outlineLevel="0" collapsed="false">
      <c r="B31" s="10"/>
      <c r="C31" s="56"/>
    </row>
    <row r="35" customFormat="false" ht="13.5" hidden="false" customHeight="false" outlineLevel="0" collapsed="false">
      <c r="B35" s="10"/>
      <c r="C35" s="56"/>
    </row>
    <row r="36" customFormat="false" ht="13.5" hidden="false" customHeight="false" outlineLevel="0" collapsed="false">
      <c r="B36" s="10"/>
      <c r="C36" s="5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14" activeCellId="0" sqref="J14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2.49"/>
    <col collapsed="false" customWidth="true" hidden="false" outlineLevel="0" max="3" min="3" style="0" width="8.12"/>
    <col collapsed="false" customWidth="true" hidden="false" outlineLevel="0" max="6" min="4" style="0" width="7.62"/>
    <col collapsed="false" customWidth="true" hidden="false" outlineLevel="0" max="7" min="7" style="0" width="5.12"/>
  </cols>
  <sheetData>
    <row r="1" customFormat="false" ht="13.5" hidden="false" customHeight="false" outlineLevel="0" collapsed="false">
      <c r="B1" s="24" t="s">
        <v>0</v>
      </c>
      <c r="C1" s="25"/>
      <c r="D1" s="25"/>
      <c r="E1" s="25"/>
      <c r="F1" s="25"/>
      <c r="G1" s="25"/>
      <c r="H1" s="26"/>
    </row>
    <row r="2" customFormat="false" ht="13.5" hidden="false" customHeight="false" outlineLevel="0" collapsed="false">
      <c r="B2" s="27" t="s">
        <v>0</v>
      </c>
      <c r="C2" s="28" t="s">
        <v>57</v>
      </c>
      <c r="D2" s="28"/>
      <c r="E2" s="28"/>
      <c r="F2" s="28"/>
      <c r="G2" s="28"/>
      <c r="H2" s="29"/>
    </row>
    <row r="3" customFormat="false" ht="14.25" hidden="false" customHeight="false" outlineLevel="0" collapsed="false">
      <c r="B3" s="30" t="s">
        <v>0</v>
      </c>
      <c r="C3" s="31"/>
      <c r="D3" s="31"/>
      <c r="E3" s="31"/>
      <c r="F3" s="31"/>
      <c r="G3" s="31"/>
      <c r="H3" s="32"/>
    </row>
    <row r="5" customFormat="false" ht="13.5" hidden="false" customHeight="false" outlineLevel="0" collapsed="false">
      <c r="B5" s="10"/>
      <c r="C5" s="10"/>
    </row>
    <row r="9" customFormat="false" ht="13.5" hidden="false" customHeight="false" outlineLevel="0" collapsed="false">
      <c r="B9" s="11" t="s">
        <v>58</v>
      </c>
      <c r="C9" s="58" t="s">
        <v>59</v>
      </c>
    </row>
    <row r="10" customFormat="false" ht="13.5" hidden="false" customHeight="false" outlineLevel="0" collapsed="false">
      <c r="B10" s="11" t="s">
        <v>60</v>
      </c>
      <c r="C10" s="56"/>
    </row>
    <row r="11" customFormat="false" ht="13.5" hidden="false" customHeight="false" outlineLevel="0" collapsed="false">
      <c r="B11" s="18" t="s">
        <v>58</v>
      </c>
      <c r="C11" s="18" t="s">
        <v>61</v>
      </c>
    </row>
    <row r="12" customFormat="false" ht="13.5" hidden="false" customHeight="false" outlineLevel="0" collapsed="false">
      <c r="B12" s="18" t="s">
        <v>58</v>
      </c>
      <c r="C12" s="18" t="s">
        <v>62</v>
      </c>
    </row>
    <row r="13" customFormat="false" ht="13.5" hidden="false" customHeight="false" outlineLevel="0" collapsed="false">
      <c r="B13" s="18" t="s">
        <v>58</v>
      </c>
      <c r="C13" s="18" t="s">
        <v>63</v>
      </c>
    </row>
    <row r="14" customFormat="false" ht="13.5" hidden="false" customHeight="false" outlineLevel="0" collapsed="false">
      <c r="B14" s="11" t="s">
        <v>64</v>
      </c>
      <c r="C14" s="56"/>
    </row>
    <row r="15" customFormat="false" ht="13.5" hidden="false" customHeight="false" outlineLevel="0" collapsed="false">
      <c r="B15" s="11" t="s">
        <v>58</v>
      </c>
      <c r="C15" s="59" t="s"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7" activeCellId="0" sqref="C17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2.49"/>
    <col collapsed="false" customWidth="true" hidden="false" outlineLevel="0" max="3" min="3" style="0" width="8.12"/>
    <col collapsed="false" customWidth="true" hidden="false" outlineLevel="0" max="6" min="4" style="0" width="7.62"/>
    <col collapsed="false" customWidth="true" hidden="false" outlineLevel="0" max="7" min="7" style="0" width="5.12"/>
    <col collapsed="false" customWidth="true" hidden="false" outlineLevel="0" max="8" min="8" style="0" width="13.62"/>
  </cols>
  <sheetData>
    <row r="1" customFormat="false" ht="13.5" hidden="false" customHeight="false" outlineLevel="0" collapsed="false">
      <c r="B1" s="24" t="s">
        <v>0</v>
      </c>
      <c r="C1" s="25"/>
      <c r="D1" s="25"/>
      <c r="E1" s="25"/>
      <c r="F1" s="25"/>
      <c r="G1" s="25"/>
      <c r="H1" s="26"/>
    </row>
    <row r="2" customFormat="false" ht="13.5" hidden="false" customHeight="false" outlineLevel="0" collapsed="false">
      <c r="B2" s="27" t="s">
        <v>0</v>
      </c>
      <c r="C2" s="28" t="s">
        <v>57</v>
      </c>
      <c r="D2" s="28"/>
      <c r="E2" s="28"/>
      <c r="F2" s="28"/>
      <c r="G2" s="28"/>
      <c r="H2" s="29"/>
    </row>
    <row r="3" customFormat="false" ht="14.25" hidden="false" customHeight="false" outlineLevel="0" collapsed="false">
      <c r="B3" s="30" t="s">
        <v>0</v>
      </c>
      <c r="C3" s="31"/>
      <c r="D3" s="31"/>
      <c r="E3" s="31"/>
      <c r="F3" s="31"/>
      <c r="G3" s="31"/>
      <c r="H3" s="32"/>
    </row>
    <row r="5" customFormat="false" ht="13.5" hidden="false" customHeight="false" outlineLevel="0" collapsed="false">
      <c r="B5" s="10"/>
      <c r="C5" s="10"/>
    </row>
    <row r="7" customFormat="false" ht="14.25" hidden="false" customHeight="false" outlineLevel="0" collapsed="false">
      <c r="B7" s="11" t="s">
        <v>27</v>
      </c>
      <c r="C7" s="11" t="s">
        <v>21</v>
      </c>
    </row>
    <row r="8" customFormat="false" ht="14.25" hidden="false" customHeight="false" outlineLevel="0" collapsed="false">
      <c r="A8" s="14"/>
      <c r="B8" s="60" t="s">
        <v>0</v>
      </c>
      <c r="C8" s="61" t="s">
        <v>66</v>
      </c>
      <c r="D8" s="62"/>
      <c r="E8" s="61"/>
      <c r="F8" s="61"/>
      <c r="G8" s="61"/>
      <c r="H8" s="63"/>
      <c r="I8" s="10"/>
      <c r="J8" s="10"/>
      <c r="K8" s="10"/>
    </row>
    <row r="9" customFormat="false" ht="14.25" hidden="false" customHeight="false" outlineLevel="0" collapsed="false">
      <c r="A9" s="14"/>
      <c r="B9" s="64" t="s">
        <v>67</v>
      </c>
      <c r="C9" s="65" t="s">
        <v>21</v>
      </c>
      <c r="D9" s="66" t="s">
        <v>68</v>
      </c>
      <c r="E9" s="67" t="n">
        <v>1</v>
      </c>
      <c r="F9" s="68" t="s">
        <v>69</v>
      </c>
      <c r="G9" s="68" t="s">
        <v>0</v>
      </c>
      <c r="H9" s="69" t="s">
        <v>70</v>
      </c>
      <c r="I9" s="10"/>
      <c r="J9" s="10"/>
      <c r="K9" s="10"/>
    </row>
    <row r="12" customFormat="false" ht="13.5" hidden="false" customHeight="false" outlineLevel="0" collapsed="false">
      <c r="B12" s="11" t="s">
        <v>58</v>
      </c>
      <c r="C12" s="58" t="s">
        <v>59</v>
      </c>
    </row>
    <row r="13" customFormat="false" ht="13.5" hidden="false" customHeight="false" outlineLevel="0" collapsed="false">
      <c r="B13" s="11" t="s">
        <v>60</v>
      </c>
      <c r="C13" s="56"/>
    </row>
    <row r="14" customFormat="false" ht="13.5" hidden="false" customHeight="false" outlineLevel="0" collapsed="false">
      <c r="B14" s="18" t="s">
        <v>58</v>
      </c>
      <c r="C14" s="18" t="s">
        <v>71</v>
      </c>
    </row>
    <row r="15" customFormat="false" ht="13.5" hidden="false" customHeight="false" outlineLevel="0" collapsed="false">
      <c r="B15" s="18" t="s">
        <v>58</v>
      </c>
      <c r="C15" s="18" t="s">
        <v>72</v>
      </c>
    </row>
    <row r="16" customFormat="false" ht="13.5" hidden="false" customHeight="false" outlineLevel="0" collapsed="false">
      <c r="B16" s="18" t="s">
        <v>58</v>
      </c>
      <c r="C16" s="18" t="s">
        <v>73</v>
      </c>
    </row>
    <row r="17" customFormat="false" ht="13.5" hidden="false" customHeight="false" outlineLevel="0" collapsed="false">
      <c r="B17" s="11" t="s">
        <v>64</v>
      </c>
      <c r="C17" s="56"/>
    </row>
    <row r="18" customFormat="false" ht="13.5" hidden="false" customHeight="false" outlineLevel="0" collapsed="false">
      <c r="B18" s="11" t="s">
        <v>58</v>
      </c>
      <c r="C18" s="59" t="s"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5" activeCellId="0" sqref="D25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3.25"/>
    <col collapsed="false" customWidth="true" hidden="false" outlineLevel="0" max="2" min="2" style="0" width="7.86"/>
    <col collapsed="false" customWidth="true" hidden="false" outlineLevel="0" max="3" min="3" style="0" width="8.62"/>
    <col collapsed="false" customWidth="true" hidden="false" outlineLevel="0" max="4" min="4" style="0" width="14.49"/>
    <col collapsed="false" customWidth="true" hidden="false" outlineLevel="0" max="5" min="5" style="0" width="10.86"/>
    <col collapsed="false" customWidth="true" hidden="false" outlineLevel="0" max="6" min="6" style="0" width="9.62"/>
    <col collapsed="false" customWidth="true" hidden="false" outlineLevel="0" max="7" min="7" style="0" width="13.62"/>
    <col collapsed="false" customWidth="true" hidden="false" outlineLevel="0" max="8" min="8" style="0" width="13.25"/>
  </cols>
  <sheetData>
    <row r="1" customFormat="false" ht="13.5" hidden="false" customHeight="false" outlineLevel="0" collapsed="false">
      <c r="B1" s="24" t="s">
        <v>0</v>
      </c>
      <c r="C1" s="25"/>
      <c r="D1" s="25"/>
      <c r="E1" s="25"/>
      <c r="F1" s="25"/>
      <c r="G1" s="25"/>
      <c r="H1" s="26"/>
    </row>
    <row r="2" customFormat="false" ht="13.5" hidden="false" customHeight="false" outlineLevel="0" collapsed="false">
      <c r="B2" s="27" t="s">
        <v>0</v>
      </c>
      <c r="C2" s="28" t="s">
        <v>74</v>
      </c>
      <c r="D2" s="28"/>
      <c r="E2" s="28"/>
      <c r="F2" s="28"/>
      <c r="G2" s="28"/>
      <c r="H2" s="29"/>
    </row>
    <row r="3" customFormat="false" ht="14.25" hidden="false" customHeight="false" outlineLevel="0" collapsed="false">
      <c r="B3" s="30" t="s">
        <v>0</v>
      </c>
      <c r="C3" s="31"/>
      <c r="D3" s="31"/>
      <c r="E3" s="31"/>
      <c r="F3" s="31"/>
      <c r="G3" s="31"/>
      <c r="H3" s="32"/>
    </row>
    <row r="5" customFormat="false" ht="14.25" hidden="false" customHeight="false" outlineLevel="0" collapsed="false">
      <c r="A5" s="10"/>
      <c r="B5" s="11" t="s">
        <v>27</v>
      </c>
      <c r="C5" s="11" t="s">
        <v>19</v>
      </c>
      <c r="D5" s="70"/>
      <c r="E5" s="10"/>
      <c r="F5" s="10"/>
      <c r="G5" s="10"/>
      <c r="H5" s="10"/>
      <c r="I5" s="10"/>
      <c r="J5" s="10"/>
      <c r="K5" s="10"/>
    </row>
    <row r="6" customFormat="false" ht="14.25" hidden="false" customHeight="false" outlineLevel="0" collapsed="false">
      <c r="A6" s="14"/>
      <c r="B6" s="60" t="s">
        <v>0</v>
      </c>
      <c r="C6" s="61" t="s">
        <v>66</v>
      </c>
      <c r="D6" s="62"/>
      <c r="E6" s="61"/>
      <c r="F6" s="61"/>
      <c r="G6" s="61"/>
      <c r="H6" s="63"/>
      <c r="I6" s="10"/>
      <c r="J6" s="10"/>
      <c r="K6" s="10"/>
    </row>
    <row r="7" customFormat="false" ht="13.5" hidden="false" customHeight="false" outlineLevel="0" collapsed="false">
      <c r="A7" s="14"/>
      <c r="B7" s="71" t="s">
        <v>67</v>
      </c>
      <c r="C7" s="72" t="s">
        <v>19</v>
      </c>
      <c r="D7" s="73" t="s">
        <v>68</v>
      </c>
      <c r="E7" s="74" t="n">
        <v>1</v>
      </c>
      <c r="F7" s="75" t="s">
        <v>75</v>
      </c>
      <c r="G7" s="75" t="s">
        <v>0</v>
      </c>
      <c r="H7" s="76" t="s">
        <v>76</v>
      </c>
      <c r="I7" s="10"/>
      <c r="J7" s="10"/>
      <c r="K7" s="10"/>
    </row>
    <row r="8" customFormat="false" ht="14.25" hidden="false" customHeight="false" outlineLevel="0" collapsed="false">
      <c r="A8" s="14"/>
      <c r="B8" s="77" t="s">
        <v>67</v>
      </c>
      <c r="C8" s="53" t="s">
        <v>35</v>
      </c>
      <c r="D8" s="53" t="s">
        <v>68</v>
      </c>
      <c r="E8" s="52" t="n">
        <v>1</v>
      </c>
      <c r="F8" s="78" t="s">
        <v>75</v>
      </c>
      <c r="G8" s="78" t="s">
        <v>0</v>
      </c>
      <c r="H8" s="79" t="s">
        <v>77</v>
      </c>
      <c r="I8" s="10"/>
      <c r="J8" s="10"/>
      <c r="K8" s="10"/>
    </row>
    <row r="9" customFormat="false" ht="14.25" hidden="false" customHeight="false" outlineLevel="0" collapsed="false">
      <c r="A9" s="10"/>
      <c r="B9" s="10"/>
      <c r="C9" s="10"/>
      <c r="D9" s="70"/>
      <c r="E9" s="10"/>
      <c r="F9" s="10"/>
      <c r="G9" s="10"/>
      <c r="H9" s="10"/>
    </row>
    <row r="10" customFormat="false" ht="14.25" hidden="false" customHeight="false" outlineLevel="0" collapsed="false">
      <c r="A10" s="10"/>
      <c r="B10" s="80" t="s">
        <v>0</v>
      </c>
      <c r="C10" s="81" t="s">
        <v>78</v>
      </c>
      <c r="D10" s="81" t="s">
        <v>79</v>
      </c>
      <c r="E10" s="81" t="s">
        <v>80</v>
      </c>
      <c r="F10" s="81" t="s">
        <v>81</v>
      </c>
      <c r="G10" s="81" t="s">
        <v>82</v>
      </c>
      <c r="H10" s="82" t="s">
        <v>83</v>
      </c>
    </row>
    <row r="11" customFormat="false" ht="13.5" hidden="false" customHeight="false" outlineLevel="0" collapsed="false">
      <c r="A11" s="10"/>
      <c r="B11" s="83" t="s">
        <v>84</v>
      </c>
      <c r="C11" s="84" t="str">
        <f aca="false">CONCATENATE("_",H11)</f>
        <v>_clk</v>
      </c>
      <c r="D11" s="85" t="n">
        <v>3000</v>
      </c>
      <c r="E11" s="85" t="n">
        <v>500</v>
      </c>
      <c r="F11" s="85" t="n">
        <f aca="false">D11/2</f>
        <v>1500</v>
      </c>
      <c r="G11" s="85" t="n">
        <v>0</v>
      </c>
      <c r="H11" s="86" t="s">
        <v>19</v>
      </c>
    </row>
    <row r="12" customFormat="false" ht="14.25" hidden="false" customHeight="false" outlineLevel="0" collapsed="false">
      <c r="A12" s="10"/>
      <c r="B12" s="87" t="s">
        <v>84</v>
      </c>
      <c r="C12" s="88" t="str">
        <f aca="false">CONCATENATE("_",H12)</f>
        <v>_clko</v>
      </c>
      <c r="D12" s="89" t="n">
        <v>3000</v>
      </c>
      <c r="E12" s="89" t="n">
        <v>550</v>
      </c>
      <c r="F12" s="89" t="n">
        <f aca="false">D12/2</f>
        <v>1500</v>
      </c>
      <c r="G12" s="89" t="n">
        <v>0</v>
      </c>
      <c r="H12" s="90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D68" activeCellId="0" sqref="D68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3.25"/>
    <col collapsed="false" customWidth="true" hidden="false" outlineLevel="0" max="2" min="2" style="0" width="7.86"/>
    <col collapsed="false" customWidth="true" hidden="false" outlineLevel="0" max="3" min="3" style="0" width="10.49"/>
    <col collapsed="false" customWidth="true" hidden="false" outlineLevel="0" max="4" min="4" style="0" width="14.49"/>
    <col collapsed="false" customWidth="true" hidden="false" outlineLevel="0" max="5" min="5" style="0" width="10.86"/>
    <col collapsed="false" customWidth="true" hidden="false" outlineLevel="0" max="6" min="6" style="0" width="9.86"/>
    <col collapsed="false" customWidth="true" hidden="false" outlineLevel="0" max="7" min="7" style="0" width="10.62"/>
    <col collapsed="false" customWidth="true" hidden="false" outlineLevel="0" max="8" min="8" style="0" width="7.25"/>
    <col collapsed="false" customWidth="true" hidden="false" outlineLevel="0" max="9" min="9" style="0" width="3.49"/>
    <col collapsed="false" customWidth="true" hidden="false" outlineLevel="0" max="10" min="10" style="0" width="18.99"/>
  </cols>
  <sheetData>
    <row r="1" customFormat="false" ht="13.5" hidden="false" customHeight="false" outlineLevel="0" collapsed="false">
      <c r="B1" s="24" t="s">
        <v>0</v>
      </c>
      <c r="C1" s="25"/>
      <c r="D1" s="25"/>
      <c r="E1" s="25"/>
      <c r="F1" s="25"/>
      <c r="G1" s="25"/>
      <c r="H1" s="26"/>
    </row>
    <row r="2" customFormat="false" ht="13.5" hidden="false" customHeight="false" outlineLevel="0" collapsed="false">
      <c r="B2" s="27" t="s">
        <v>0</v>
      </c>
      <c r="C2" s="91" t="s">
        <v>85</v>
      </c>
      <c r="D2" s="28"/>
      <c r="E2" s="28"/>
      <c r="F2" s="28"/>
      <c r="G2" s="28"/>
      <c r="H2" s="29"/>
    </row>
    <row r="3" customFormat="false" ht="14.25" hidden="false" customHeight="false" outlineLevel="0" collapsed="false">
      <c r="B3" s="30" t="s">
        <v>0</v>
      </c>
      <c r="C3" s="31"/>
      <c r="D3" s="31"/>
      <c r="E3" s="31"/>
      <c r="F3" s="31"/>
      <c r="G3" s="31"/>
      <c r="H3" s="32"/>
    </row>
    <row r="5" customFormat="false" ht="14.25" hidden="false" customHeight="false" outlineLevel="0" collapsed="false">
      <c r="A5" s="10"/>
      <c r="B5" s="11" t="s">
        <v>27</v>
      </c>
      <c r="C5" s="11" t="s">
        <v>17</v>
      </c>
      <c r="D5" s="70"/>
      <c r="E5" s="10"/>
      <c r="F5" s="10"/>
      <c r="G5" s="10"/>
      <c r="H5" s="10"/>
      <c r="I5" s="10"/>
      <c r="J5" s="10"/>
      <c r="K5" s="10"/>
    </row>
    <row r="6" customFormat="false" ht="14.25" hidden="false" customHeight="false" outlineLevel="0" collapsed="false">
      <c r="A6" s="92"/>
      <c r="B6" s="93" t="s">
        <v>0</v>
      </c>
      <c r="C6" s="94" t="s">
        <v>86</v>
      </c>
      <c r="D6" s="94"/>
      <c r="E6" s="16"/>
      <c r="F6" s="17"/>
      <c r="G6" s="92"/>
      <c r="H6" s="92"/>
      <c r="I6" s="92"/>
      <c r="J6" s="92"/>
    </row>
    <row r="7" customFormat="false" ht="13.5" hidden="false" customHeight="false" outlineLevel="0" collapsed="false">
      <c r="A7" s="95"/>
      <c r="B7" s="96" t="s">
        <v>87</v>
      </c>
      <c r="C7" s="23"/>
      <c r="D7" s="23"/>
      <c r="E7" s="23"/>
      <c r="F7" s="95"/>
      <c r="G7" s="95"/>
      <c r="H7" s="95"/>
      <c r="I7" s="97"/>
      <c r="J7" s="95"/>
    </row>
    <row r="8" customFormat="false" ht="13.5" hidden="false" customHeight="false" outlineLevel="0" collapsed="false">
      <c r="A8" s="95"/>
      <c r="B8" s="96" t="s">
        <v>58</v>
      </c>
      <c r="C8" s="96" t="s">
        <v>88</v>
      </c>
      <c r="D8" s="97"/>
      <c r="E8" s="95"/>
      <c r="F8" s="95"/>
      <c r="G8" s="95"/>
      <c r="H8" s="95"/>
      <c r="I8" s="97"/>
      <c r="J8" s="98"/>
      <c r="K8" s="98"/>
    </row>
    <row r="9" customFormat="false" ht="13.5" hidden="false" customHeight="false" outlineLevel="0" collapsed="false">
      <c r="A9" s="97"/>
      <c r="B9" s="18" t="s">
        <v>58</v>
      </c>
      <c r="C9" s="99" t="s">
        <v>59</v>
      </c>
      <c r="D9" s="97"/>
      <c r="E9" s="97"/>
      <c r="F9" s="97"/>
      <c r="G9" s="97"/>
      <c r="H9" s="97"/>
      <c r="I9" s="97"/>
      <c r="J9" s="98"/>
      <c r="K9" s="98"/>
    </row>
    <row r="10" customFormat="false" ht="13.5" hidden="false" customHeight="false" outlineLevel="0" collapsed="false">
      <c r="A10" s="97"/>
      <c r="B10" s="18" t="s">
        <v>60</v>
      </c>
      <c r="C10" s="99"/>
      <c r="D10" s="97"/>
      <c r="E10" s="97"/>
      <c r="F10" s="97"/>
      <c r="G10" s="97"/>
      <c r="H10" s="97"/>
      <c r="I10" s="97"/>
      <c r="J10" s="92"/>
      <c r="K10" s="92"/>
    </row>
    <row r="11" customFormat="false" ht="13.5" hidden="false" customHeight="false" outlineLevel="0" collapsed="false">
      <c r="A11" s="97"/>
      <c r="B11" s="18" t="s">
        <v>58</v>
      </c>
      <c r="C11" s="99" t="s">
        <v>89</v>
      </c>
      <c r="D11" s="97"/>
      <c r="E11" s="97"/>
      <c r="F11" s="97"/>
      <c r="G11" s="97"/>
      <c r="H11" s="97"/>
      <c r="I11" s="97"/>
      <c r="J11" s="92"/>
      <c r="K11" s="92"/>
    </row>
    <row r="12" customFormat="false" ht="13.5" hidden="false" customHeight="false" outlineLevel="0" collapsed="false">
      <c r="A12" s="97"/>
      <c r="B12" s="18" t="s">
        <v>58</v>
      </c>
      <c r="C12" s="18" t="s">
        <v>90</v>
      </c>
      <c r="D12" s="97"/>
      <c r="E12" s="97"/>
      <c r="F12" s="97"/>
      <c r="G12" s="97"/>
      <c r="H12" s="97"/>
      <c r="I12" s="97"/>
      <c r="J12" s="97"/>
      <c r="K12" s="95"/>
    </row>
    <row r="13" customFormat="false" ht="13.5" hidden="false" customHeight="false" outlineLevel="0" collapsed="false">
      <c r="A13" s="97"/>
      <c r="B13" s="100" t="s">
        <v>91</v>
      </c>
      <c r="C13" s="100" t="s">
        <v>92</v>
      </c>
      <c r="D13" s="21" t="n">
        <v>4</v>
      </c>
      <c r="E13" s="14"/>
      <c r="F13" s="97"/>
      <c r="G13" s="97"/>
      <c r="H13" s="97"/>
      <c r="I13" s="97"/>
      <c r="J13" s="97"/>
      <c r="K13" s="95"/>
    </row>
    <row r="14" customFormat="false" ht="13.5" hidden="false" customHeight="false" outlineLevel="0" collapsed="false">
      <c r="A14" s="97"/>
      <c r="B14" s="100" t="s">
        <v>58</v>
      </c>
      <c r="C14" s="101" t="s">
        <v>93</v>
      </c>
      <c r="D14" s="14"/>
      <c r="E14" s="14"/>
      <c r="F14" s="97"/>
      <c r="G14" s="97"/>
      <c r="H14" s="97"/>
      <c r="I14" s="97"/>
      <c r="J14" s="97"/>
      <c r="K14" s="95"/>
    </row>
    <row r="15" customFormat="false" ht="13.5" hidden="false" customHeight="false" outlineLevel="0" collapsed="false">
      <c r="A15" s="97"/>
      <c r="B15" s="100" t="s">
        <v>94</v>
      </c>
      <c r="C15" s="101"/>
      <c r="D15" s="14"/>
      <c r="E15" s="14"/>
      <c r="F15" s="97"/>
      <c r="G15" s="97"/>
      <c r="H15" s="97"/>
      <c r="I15" s="97"/>
      <c r="J15" s="97"/>
      <c r="K15" s="95"/>
    </row>
    <row r="16" customFormat="false" ht="13.5" hidden="false" customHeight="false" outlineLevel="0" collapsed="false">
      <c r="A16" s="97"/>
      <c r="B16" s="18" t="s">
        <v>64</v>
      </c>
      <c r="C16" s="99"/>
      <c r="D16" s="97"/>
      <c r="E16" s="97"/>
      <c r="F16" s="97"/>
      <c r="G16" s="97"/>
      <c r="H16" s="97"/>
      <c r="I16" s="97"/>
      <c r="J16" s="97"/>
    </row>
    <row r="17" customFormat="false" ht="13.5" hidden="false" customHeight="false" outlineLevel="0" collapsed="false">
      <c r="A17" s="97"/>
      <c r="B17" s="18" t="s">
        <v>58</v>
      </c>
      <c r="C17" s="102" t="s">
        <v>65</v>
      </c>
      <c r="D17" s="97"/>
      <c r="E17" s="97"/>
      <c r="F17" s="97"/>
      <c r="G17" s="97"/>
      <c r="H17" s="97"/>
      <c r="J17" s="97"/>
    </row>
    <row r="18" customFormat="false" ht="14.25" hidden="false" customHeight="false" outlineLevel="0" collapsed="false">
      <c r="E18" s="97"/>
      <c r="F18" s="97"/>
      <c r="G18" s="97"/>
      <c r="H18" s="97"/>
    </row>
    <row r="19" customFormat="false" ht="14.25" hidden="false" customHeight="false" outlineLevel="0" collapsed="false">
      <c r="A19" s="14"/>
      <c r="B19" s="103" t="s">
        <v>0</v>
      </c>
      <c r="C19" s="104" t="s">
        <v>95</v>
      </c>
      <c r="D19" s="105" t="s">
        <v>96</v>
      </c>
      <c r="E19" s="104" t="s">
        <v>97</v>
      </c>
      <c r="F19" s="106" t="s">
        <v>98</v>
      </c>
      <c r="G19" s="104"/>
      <c r="H19" s="104"/>
      <c r="I19" s="104"/>
      <c r="J19" s="107" t="s">
        <v>99</v>
      </c>
    </row>
    <row r="20" customFormat="false" ht="13.5" hidden="false" customHeight="false" outlineLevel="0" collapsed="false">
      <c r="A20" s="14"/>
      <c r="B20" s="71" t="s">
        <v>67</v>
      </c>
      <c r="C20" s="73" t="s">
        <v>19</v>
      </c>
      <c r="D20" s="73" t="s">
        <v>100</v>
      </c>
      <c r="E20" s="74" t="n">
        <v>1</v>
      </c>
      <c r="F20" s="75"/>
      <c r="G20" s="75"/>
      <c r="H20" s="75"/>
      <c r="I20" s="75" t="s">
        <v>0</v>
      </c>
      <c r="J20" s="76" t="s">
        <v>101</v>
      </c>
      <c r="K20" s="14"/>
      <c r="L20" s="14"/>
      <c r="M20" s="14"/>
    </row>
    <row r="21" customFormat="false" ht="13.5" hidden="false" customHeight="false" outlineLevel="0" collapsed="false">
      <c r="A21" s="14"/>
      <c r="B21" s="108" t="s">
        <v>67</v>
      </c>
      <c r="C21" s="43" t="s">
        <v>35</v>
      </c>
      <c r="D21" s="43" t="s">
        <v>100</v>
      </c>
      <c r="E21" s="42" t="n">
        <v>1</v>
      </c>
      <c r="F21" s="109"/>
      <c r="G21" s="109"/>
      <c r="H21" s="109"/>
      <c r="I21" s="110" t="s">
        <v>0</v>
      </c>
      <c r="J21" s="111" t="s">
        <v>102</v>
      </c>
      <c r="K21" s="14"/>
      <c r="L21" s="14"/>
      <c r="M21" s="14"/>
    </row>
    <row r="22" customFormat="false" ht="13.5" hidden="false" customHeight="false" outlineLevel="0" collapsed="false">
      <c r="A22" s="10"/>
      <c r="B22" s="108" t="s">
        <v>67</v>
      </c>
      <c r="C22" s="43" t="s">
        <v>21</v>
      </c>
      <c r="D22" s="43" t="s">
        <v>100</v>
      </c>
      <c r="E22" s="42" t="s">
        <v>36</v>
      </c>
      <c r="F22" s="109"/>
      <c r="G22" s="109"/>
      <c r="H22" s="109"/>
      <c r="I22" s="110" t="s">
        <v>0</v>
      </c>
      <c r="J22" s="111" t="s">
        <v>103</v>
      </c>
      <c r="K22" s="10"/>
      <c r="L22" s="10"/>
      <c r="M22" s="10"/>
    </row>
    <row r="23" customFormat="false" ht="13.5" hidden="false" customHeight="false" outlineLevel="0" collapsed="false">
      <c r="A23" s="10"/>
      <c r="B23" s="108" t="s">
        <v>91</v>
      </c>
      <c r="C23" s="43" t="s">
        <v>92</v>
      </c>
      <c r="D23" s="109" t="n">
        <v>4</v>
      </c>
      <c r="E23" s="42"/>
      <c r="F23" s="109"/>
      <c r="G23" s="109"/>
      <c r="H23" s="109"/>
      <c r="I23" s="109"/>
      <c r="J23" s="111"/>
      <c r="K23" s="10"/>
      <c r="L23" s="10"/>
      <c r="M23" s="10"/>
    </row>
    <row r="24" customFormat="false" ht="13.5" hidden="false" customHeight="false" outlineLevel="0" collapsed="false">
      <c r="A24" s="10"/>
      <c r="B24" s="108" t="s">
        <v>67</v>
      </c>
      <c r="C24" s="43" t="s">
        <v>104</v>
      </c>
      <c r="D24" s="43" t="s">
        <v>68</v>
      </c>
      <c r="E24" s="42" t="s">
        <v>36</v>
      </c>
      <c r="F24" s="110" t="s">
        <v>69</v>
      </c>
      <c r="G24" s="110" t="s">
        <v>19</v>
      </c>
      <c r="H24" s="109" t="str">
        <f aca="false">CONCATENATE("rst:",E24,"'b0")</f>
        <v>rst:1'b0</v>
      </c>
      <c r="I24" s="110" t="s">
        <v>0</v>
      </c>
      <c r="J24" s="111" t="s">
        <v>105</v>
      </c>
      <c r="K24" s="10"/>
      <c r="L24" s="10"/>
      <c r="M24" s="10"/>
    </row>
    <row r="25" customFormat="false" ht="13.5" hidden="false" customHeight="false" outlineLevel="0" collapsed="false">
      <c r="A25" s="10"/>
      <c r="B25" s="108" t="s">
        <v>67</v>
      </c>
      <c r="C25" s="43" t="s">
        <v>106</v>
      </c>
      <c r="D25" s="43" t="s">
        <v>100</v>
      </c>
      <c r="E25" s="42" t="s">
        <v>36</v>
      </c>
      <c r="F25" s="47"/>
      <c r="G25" s="47"/>
      <c r="H25" s="47"/>
      <c r="I25" s="110" t="s">
        <v>0</v>
      </c>
      <c r="J25" s="111" t="s">
        <v>107</v>
      </c>
      <c r="K25" s="10"/>
      <c r="L25" s="10"/>
      <c r="M25" s="10"/>
    </row>
    <row r="26" customFormat="false" ht="13.5" hidden="false" customHeight="false" outlineLevel="0" collapsed="false">
      <c r="A26" s="10"/>
      <c r="B26" s="108" t="s">
        <v>94</v>
      </c>
      <c r="C26" s="43"/>
      <c r="D26" s="43"/>
      <c r="E26" s="42"/>
      <c r="F26" s="47"/>
      <c r="G26" s="47"/>
      <c r="H26" s="47"/>
      <c r="I26" s="109"/>
      <c r="J26" s="111"/>
      <c r="K26" s="10"/>
      <c r="L26" s="10"/>
      <c r="M26" s="10"/>
    </row>
    <row r="27" customFormat="false" ht="13.5" hidden="false" customHeight="false" outlineLevel="0" collapsed="false">
      <c r="A27" s="10"/>
      <c r="B27" s="108" t="s">
        <v>67</v>
      </c>
      <c r="C27" s="43" t="s">
        <v>49</v>
      </c>
      <c r="D27" s="43" t="s">
        <v>100</v>
      </c>
      <c r="E27" s="42" t="n">
        <v>1</v>
      </c>
      <c r="F27" s="109"/>
      <c r="G27" s="109"/>
      <c r="H27" s="109"/>
      <c r="I27" s="110" t="s">
        <v>0</v>
      </c>
      <c r="J27" s="111" t="s">
        <v>108</v>
      </c>
      <c r="K27" s="10"/>
      <c r="L27" s="10"/>
      <c r="M27" s="10"/>
    </row>
    <row r="28" customFormat="false" ht="13.5" hidden="false" customHeight="false" outlineLevel="0" collapsed="false">
      <c r="B28" s="108" t="s">
        <v>67</v>
      </c>
      <c r="C28" s="43" t="s">
        <v>50</v>
      </c>
      <c r="D28" s="43" t="s">
        <v>100</v>
      </c>
      <c r="E28" s="42" t="n">
        <v>1</v>
      </c>
      <c r="F28" s="109"/>
      <c r="G28" s="109"/>
      <c r="H28" s="109"/>
      <c r="I28" s="110" t="s">
        <v>0</v>
      </c>
      <c r="J28" s="111" t="s">
        <v>109</v>
      </c>
    </row>
    <row r="29" customFormat="false" ht="13.5" hidden="false" customHeight="false" outlineLevel="0" collapsed="false">
      <c r="B29" s="108" t="s">
        <v>67</v>
      </c>
      <c r="C29" s="43" t="s">
        <v>52</v>
      </c>
      <c r="D29" s="43" t="s">
        <v>100</v>
      </c>
      <c r="E29" s="42" t="s">
        <v>51</v>
      </c>
      <c r="F29" s="109"/>
      <c r="G29" s="109"/>
      <c r="H29" s="109"/>
      <c r="I29" s="110" t="s">
        <v>0</v>
      </c>
      <c r="J29" s="111" t="s">
        <v>110</v>
      </c>
    </row>
    <row r="30" customFormat="false" ht="13.5" hidden="false" customHeight="false" outlineLevel="0" collapsed="false">
      <c r="B30" s="108" t="s">
        <v>67</v>
      </c>
      <c r="C30" s="43" t="s">
        <v>55</v>
      </c>
      <c r="D30" s="43" t="s">
        <v>68</v>
      </c>
      <c r="E30" s="42" t="s">
        <v>53</v>
      </c>
      <c r="F30" s="110" t="s">
        <v>69</v>
      </c>
      <c r="G30" s="110" t="s">
        <v>19</v>
      </c>
      <c r="H30" s="109" t="str">
        <f aca="false">CONCATENATE("rst:",E30,"'b0")</f>
        <v>rst:8'b0</v>
      </c>
      <c r="I30" s="110" t="s">
        <v>0</v>
      </c>
      <c r="J30" s="111" t="s">
        <v>111</v>
      </c>
    </row>
    <row r="31" customFormat="false" ht="13.5" hidden="false" customHeight="false" outlineLevel="0" collapsed="false">
      <c r="B31" s="108" t="s">
        <v>67</v>
      </c>
      <c r="C31" s="43" t="s">
        <v>54</v>
      </c>
      <c r="D31" s="43" t="s">
        <v>100</v>
      </c>
      <c r="E31" s="42" t="s">
        <v>53</v>
      </c>
      <c r="F31" s="47"/>
      <c r="G31" s="47"/>
      <c r="H31" s="47"/>
      <c r="I31" s="110" t="s">
        <v>0</v>
      </c>
      <c r="J31" s="111" t="s">
        <v>112</v>
      </c>
    </row>
    <row r="32" customFormat="false" ht="14.25" hidden="false" customHeight="false" outlineLevel="0" collapsed="false">
      <c r="B32" s="77" t="s">
        <v>67</v>
      </c>
      <c r="C32" s="53" t="s">
        <v>56</v>
      </c>
      <c r="D32" s="53" t="s">
        <v>68</v>
      </c>
      <c r="E32" s="52" t="s">
        <v>36</v>
      </c>
      <c r="F32" s="78" t="s">
        <v>69</v>
      </c>
      <c r="G32" s="78" t="s">
        <v>19</v>
      </c>
      <c r="H32" s="78" t="str">
        <f aca="false">CONCATENATE("rst:",E32,"'b0")</f>
        <v>rst:1'b0</v>
      </c>
      <c r="I32" s="78" t="s">
        <v>0</v>
      </c>
      <c r="J32" s="112" t="s">
        <v>113</v>
      </c>
    </row>
    <row r="33" customFormat="false" ht="14.25" hidden="false" customHeight="false" outlineLevel="0" collapsed="false"/>
    <row r="34" customFormat="false" ht="14.25" hidden="false" customHeight="false" outlineLevel="0" collapsed="false">
      <c r="B34" s="113" t="s">
        <v>0</v>
      </c>
      <c r="C34" s="114" t="s">
        <v>114</v>
      </c>
      <c r="D34" s="114"/>
      <c r="E34" s="114"/>
      <c r="F34" s="114"/>
      <c r="G34" s="114"/>
      <c r="H34" s="114"/>
      <c r="I34" s="114"/>
      <c r="J34" s="115"/>
    </row>
    <row r="35" customFormat="false" ht="13.5" hidden="false" customHeight="false" outlineLevel="0" collapsed="false">
      <c r="B35" s="116" t="s">
        <v>115</v>
      </c>
      <c r="C35" s="117" t="s">
        <v>116</v>
      </c>
      <c r="D35" s="73"/>
      <c r="E35" s="118" t="s">
        <v>117</v>
      </c>
      <c r="F35" s="73"/>
      <c r="G35" s="73"/>
      <c r="H35" s="73"/>
      <c r="I35" s="119"/>
      <c r="J35" s="120"/>
    </row>
    <row r="36" customFormat="false" ht="13.5" hidden="false" customHeight="false" outlineLevel="0" collapsed="false">
      <c r="B36" s="121" t="s">
        <v>115</v>
      </c>
      <c r="C36" s="122" t="s">
        <v>118</v>
      </c>
      <c r="D36" s="43"/>
      <c r="E36" s="123" t="n">
        <v>8</v>
      </c>
      <c r="F36" s="43"/>
      <c r="G36" s="43"/>
      <c r="H36" s="43"/>
      <c r="I36" s="124"/>
      <c r="J36" s="125"/>
    </row>
    <row r="37" customFormat="false" ht="13.5" hidden="false" customHeight="false" outlineLevel="0" collapsed="false">
      <c r="A37" s="10"/>
      <c r="B37" s="108" t="s">
        <v>91</v>
      </c>
      <c r="C37" s="43" t="s">
        <v>92</v>
      </c>
      <c r="D37" s="109" t="n">
        <v>4</v>
      </c>
      <c r="E37" s="42"/>
      <c r="F37" s="109"/>
      <c r="G37" s="109"/>
      <c r="H37" s="109"/>
      <c r="I37" s="109"/>
      <c r="J37" s="111"/>
      <c r="K37" s="10"/>
      <c r="L37" s="10"/>
      <c r="M37" s="10"/>
    </row>
    <row r="38" customFormat="false" ht="13.5" hidden="false" customHeight="false" outlineLevel="0" collapsed="false">
      <c r="B38" s="121" t="s">
        <v>115</v>
      </c>
      <c r="C38" s="122" t="s">
        <v>119</v>
      </c>
      <c r="D38" s="43"/>
      <c r="E38" s="123" t="n">
        <v>8</v>
      </c>
      <c r="F38" s="43"/>
      <c r="G38" s="43"/>
      <c r="H38" s="43"/>
      <c r="I38" s="124"/>
      <c r="J38" s="125"/>
    </row>
    <row r="39" customFormat="false" ht="14.25" hidden="false" customHeight="false" outlineLevel="0" collapsed="false">
      <c r="A39" s="10"/>
      <c r="B39" s="77" t="s">
        <v>94</v>
      </c>
      <c r="C39" s="53"/>
      <c r="D39" s="53"/>
      <c r="E39" s="52"/>
      <c r="F39" s="54"/>
      <c r="G39" s="54"/>
      <c r="H39" s="54"/>
      <c r="I39" s="78"/>
      <c r="J39" s="79"/>
      <c r="K39" s="10"/>
      <c r="L39" s="10"/>
      <c r="M39" s="10"/>
    </row>
    <row r="40" customFormat="false" ht="14.25" hidden="false" customHeight="false" outlineLevel="0" collapsed="false"/>
    <row r="41" customFormat="false" ht="14.25" hidden="false" customHeight="false" outlineLevel="0" collapsed="false">
      <c r="A41" s="98"/>
      <c r="B41" s="126" t="s">
        <v>120</v>
      </c>
      <c r="C41" s="127" t="s">
        <v>121</v>
      </c>
      <c r="D41" s="127" t="s">
        <v>19</v>
      </c>
      <c r="E41" s="127"/>
      <c r="F41" s="128"/>
      <c r="G41" s="98"/>
      <c r="H41" s="98"/>
      <c r="I41" s="98"/>
      <c r="J41" s="98"/>
    </row>
    <row r="42" customFormat="false" ht="14.25" hidden="false" customHeight="false" outlineLevel="0" collapsed="false"/>
    <row r="43" customFormat="false" ht="14.25" hidden="false" customHeight="false" outlineLevel="0" collapsed="false">
      <c r="A43" s="98"/>
      <c r="B43" s="129" t="s">
        <v>122</v>
      </c>
      <c r="C43" s="130" t="s">
        <v>123</v>
      </c>
      <c r="D43" s="130"/>
      <c r="E43" s="130"/>
      <c r="F43" s="131"/>
      <c r="G43" s="98"/>
      <c r="H43" s="98"/>
      <c r="I43" s="98"/>
      <c r="J43" s="98"/>
    </row>
    <row r="44" customFormat="false" ht="13.5" hidden="false" customHeight="false" outlineLevel="0" collapsed="false">
      <c r="A44" s="98"/>
      <c r="B44" s="132" t="s">
        <v>124</v>
      </c>
      <c r="C44" s="132" t="s">
        <v>125</v>
      </c>
      <c r="D44" s="98"/>
      <c r="E44" s="98"/>
      <c r="F44" s="98"/>
      <c r="G44" s="98"/>
      <c r="H44" s="98"/>
      <c r="I44" s="98"/>
      <c r="J44" s="98"/>
    </row>
    <row r="45" customFormat="false" ht="13.5" hidden="false" customHeight="false" outlineLevel="0" collapsed="false">
      <c r="A45" s="97"/>
      <c r="B45" s="97"/>
      <c r="C45" s="18" t="s">
        <v>126</v>
      </c>
      <c r="D45" s="99" t="s">
        <v>127</v>
      </c>
      <c r="E45" s="97"/>
      <c r="F45" s="97"/>
      <c r="G45" s="97"/>
      <c r="H45" s="97"/>
      <c r="I45" s="97"/>
      <c r="J45" s="97"/>
    </row>
    <row r="46" customFormat="false" ht="13.5" hidden="false" customHeight="false" outlineLevel="0" collapsed="false">
      <c r="A46" s="98"/>
      <c r="B46" s="98"/>
      <c r="C46" s="132" t="s">
        <v>128</v>
      </c>
      <c r="D46" s="132" t="s">
        <v>129</v>
      </c>
      <c r="E46" s="98"/>
      <c r="F46" s="98"/>
      <c r="G46" s="98"/>
      <c r="H46" s="98"/>
      <c r="I46" s="98"/>
      <c r="J46" s="98"/>
    </row>
    <row r="47" customFormat="false" ht="13.5" hidden="false" customHeight="false" outlineLevel="0" collapsed="false">
      <c r="A47" s="98"/>
      <c r="B47" s="132" t="s">
        <v>130</v>
      </c>
      <c r="C47" s="98"/>
      <c r="D47" s="98"/>
      <c r="E47" s="98"/>
      <c r="F47" s="98"/>
      <c r="G47" s="98"/>
      <c r="H47" s="98"/>
      <c r="I47" s="98"/>
      <c r="J47" s="98"/>
    </row>
    <row r="48" customFormat="false" ht="14.25" hidden="false" customHeight="false" outlineLevel="0" collapsed="false">
      <c r="A48" s="98"/>
      <c r="B48" s="98"/>
      <c r="C48" s="98"/>
      <c r="D48" s="98"/>
      <c r="E48" s="98"/>
      <c r="F48" s="98"/>
      <c r="G48" s="98"/>
      <c r="H48" s="98"/>
      <c r="I48" s="98"/>
      <c r="J48" s="98"/>
    </row>
    <row r="49" customFormat="false" ht="14.25" hidden="false" customHeight="false" outlineLevel="0" collapsed="false">
      <c r="A49" s="98"/>
      <c r="B49" s="129" t="s">
        <v>122</v>
      </c>
      <c r="C49" s="130" t="s">
        <v>129</v>
      </c>
      <c r="D49" s="130"/>
      <c r="E49" s="130"/>
      <c r="F49" s="131"/>
      <c r="G49" s="98"/>
      <c r="H49" s="98"/>
      <c r="I49" s="98"/>
      <c r="J49" s="98"/>
    </row>
    <row r="50" customFormat="false" ht="13.5" hidden="false" customHeight="false" outlineLevel="0" collapsed="false">
      <c r="B50" s="132" t="s">
        <v>124</v>
      </c>
      <c r="C50" s="132" t="s">
        <v>131</v>
      </c>
      <c r="D50" s="132" t="s">
        <v>0</v>
      </c>
      <c r="E50" s="98" t="s">
        <v>132</v>
      </c>
      <c r="F50" s="98"/>
      <c r="G50" s="98"/>
    </row>
    <row r="51" customFormat="false" ht="13.5" hidden="false" customHeight="false" outlineLevel="0" collapsed="false">
      <c r="A51" s="98"/>
      <c r="B51" s="98"/>
      <c r="C51" s="133" t="s">
        <v>126</v>
      </c>
      <c r="D51" s="133" t="s">
        <v>133</v>
      </c>
      <c r="E51" s="98"/>
      <c r="F51" s="98"/>
      <c r="G51" s="98"/>
      <c r="H51" s="98"/>
      <c r="I51" s="98"/>
      <c r="J51" s="98"/>
    </row>
    <row r="52" customFormat="false" ht="13.5" hidden="false" customHeight="false" outlineLevel="0" collapsed="false">
      <c r="A52" s="98"/>
      <c r="B52" s="98"/>
      <c r="C52" s="133" t="s">
        <v>128</v>
      </c>
      <c r="D52" s="132" t="s">
        <v>134</v>
      </c>
      <c r="E52" s="98"/>
      <c r="F52" s="98"/>
      <c r="G52" s="98"/>
      <c r="H52" s="98"/>
      <c r="I52" s="98"/>
      <c r="J52" s="98"/>
    </row>
    <row r="53" customFormat="false" ht="13.5" hidden="false" customHeight="false" outlineLevel="0" collapsed="false">
      <c r="A53" s="98"/>
      <c r="B53" s="132" t="s">
        <v>130</v>
      </c>
      <c r="C53" s="133"/>
      <c r="D53" s="98"/>
      <c r="E53" s="98"/>
      <c r="F53" s="98"/>
      <c r="G53" s="98"/>
      <c r="H53" s="98"/>
      <c r="I53" s="98"/>
      <c r="J53" s="98"/>
    </row>
    <row r="54" customFormat="false" ht="13.5" hidden="false" customHeight="false" outlineLevel="0" collapsed="false">
      <c r="A54" s="98"/>
      <c r="B54" s="132" t="s">
        <v>124</v>
      </c>
      <c r="C54" s="132" t="s">
        <v>135</v>
      </c>
      <c r="D54" s="132" t="s">
        <v>0</v>
      </c>
      <c r="E54" s="98" t="s">
        <v>136</v>
      </c>
      <c r="F54" s="98"/>
      <c r="G54" s="98"/>
      <c r="H54" s="98"/>
      <c r="I54" s="98"/>
      <c r="J54" s="98"/>
    </row>
    <row r="55" customFormat="false" ht="13.5" hidden="false" customHeight="false" outlineLevel="0" collapsed="false">
      <c r="A55" s="98"/>
      <c r="B55" s="98"/>
      <c r="C55" s="133" t="s">
        <v>126</v>
      </c>
      <c r="D55" s="133" t="s">
        <v>133</v>
      </c>
      <c r="E55" s="98"/>
      <c r="F55" s="98"/>
      <c r="G55" s="98"/>
      <c r="H55" s="98"/>
      <c r="I55" s="98"/>
      <c r="J55" s="98"/>
    </row>
    <row r="56" customFormat="false" ht="13.5" hidden="false" customHeight="false" outlineLevel="0" collapsed="false">
      <c r="A56" s="98"/>
      <c r="B56" s="98"/>
      <c r="C56" s="133" t="s">
        <v>128</v>
      </c>
      <c r="D56" s="132" t="s">
        <v>134</v>
      </c>
      <c r="E56" s="98"/>
      <c r="F56" s="98"/>
      <c r="G56" s="98"/>
      <c r="H56" s="98"/>
      <c r="I56" s="98"/>
      <c r="J56" s="98"/>
    </row>
    <row r="57" customFormat="false" ht="13.5" hidden="false" customHeight="false" outlineLevel="0" collapsed="false">
      <c r="A57" s="98"/>
      <c r="B57" s="132" t="s">
        <v>130</v>
      </c>
      <c r="C57" s="98"/>
      <c r="D57" s="98"/>
      <c r="E57" s="98"/>
      <c r="F57" s="98"/>
      <c r="G57" s="98"/>
      <c r="H57" s="98"/>
      <c r="I57" s="98"/>
      <c r="J57" s="98"/>
    </row>
    <row r="58" customFormat="false" ht="14.25" hidden="false" customHeight="false" outlineLevel="0" collapsed="false">
      <c r="A58" s="98"/>
      <c r="B58" s="98"/>
      <c r="C58" s="98"/>
      <c r="D58" s="98"/>
      <c r="E58" s="98"/>
      <c r="F58" s="98"/>
      <c r="G58" s="98"/>
    </row>
    <row r="59" customFormat="false" ht="14.25" hidden="false" customHeight="false" outlineLevel="0" collapsed="false">
      <c r="A59" s="98"/>
      <c r="B59" s="129" t="s">
        <v>122</v>
      </c>
      <c r="C59" s="130" t="s">
        <v>134</v>
      </c>
      <c r="D59" s="130"/>
      <c r="E59" s="130"/>
      <c r="F59" s="131"/>
      <c r="G59" s="98"/>
    </row>
    <row r="60" customFormat="false" ht="13.5" hidden="false" customHeight="false" outlineLevel="0" collapsed="false">
      <c r="A60" s="98"/>
      <c r="B60" s="132" t="s">
        <v>124</v>
      </c>
      <c r="C60" s="132" t="s">
        <v>137</v>
      </c>
      <c r="D60" s="98"/>
      <c r="E60" s="98"/>
      <c r="F60" s="98"/>
      <c r="G60" s="98"/>
    </row>
    <row r="61" customFormat="false" ht="13.5" hidden="false" customHeight="false" outlineLevel="0" collapsed="false">
      <c r="A61" s="98"/>
      <c r="B61" s="98"/>
      <c r="C61" s="132" t="s">
        <v>124</v>
      </c>
      <c r="D61" s="132" t="s">
        <v>50</v>
      </c>
      <c r="E61" s="98"/>
      <c r="F61" s="98"/>
      <c r="G61" s="98"/>
    </row>
    <row r="62" customFormat="false" ht="13.5" hidden="false" customHeight="false" outlineLevel="0" collapsed="false">
      <c r="A62" s="98"/>
      <c r="B62" s="98"/>
      <c r="C62" s="98"/>
      <c r="D62" s="133" t="s">
        <v>126</v>
      </c>
      <c r="E62" s="133" t="s">
        <v>138</v>
      </c>
      <c r="F62" s="98"/>
      <c r="G62" s="98"/>
    </row>
    <row r="63" customFormat="false" ht="13.5" hidden="false" customHeight="false" outlineLevel="0" collapsed="false">
      <c r="A63" s="98"/>
      <c r="B63" s="98"/>
      <c r="C63" s="132" t="s">
        <v>139</v>
      </c>
      <c r="D63" s="98"/>
      <c r="E63" s="98"/>
      <c r="F63" s="98"/>
      <c r="G63" s="98"/>
      <c r="H63" s="98"/>
      <c r="I63" s="98"/>
      <c r="J63" s="98"/>
    </row>
    <row r="64" customFormat="false" ht="13.5" hidden="false" customHeight="false" outlineLevel="0" collapsed="false">
      <c r="A64" s="98"/>
      <c r="B64" s="98"/>
      <c r="C64" s="98"/>
      <c r="D64" s="132" t="s">
        <v>140</v>
      </c>
      <c r="E64" s="132" t="s">
        <v>55</v>
      </c>
      <c r="F64" s="132" t="s">
        <v>35</v>
      </c>
      <c r="G64" s="132" t="s">
        <v>141</v>
      </c>
      <c r="H64" s="132" t="s">
        <v>142</v>
      </c>
    </row>
    <row r="65" customFormat="false" ht="13.5" hidden="false" customHeight="false" outlineLevel="0" collapsed="false">
      <c r="A65" s="98"/>
      <c r="B65" s="98"/>
      <c r="C65" s="132" t="s">
        <v>130</v>
      </c>
      <c r="D65" s="98"/>
      <c r="E65" s="98"/>
      <c r="F65" s="98"/>
      <c r="G65" s="98"/>
    </row>
    <row r="66" customFormat="false" ht="13.5" hidden="false" customHeight="false" outlineLevel="0" collapsed="false">
      <c r="C66" s="132" t="s">
        <v>140</v>
      </c>
      <c r="D66" s="132" t="s">
        <v>56</v>
      </c>
      <c r="E66" s="18" t="s">
        <v>35</v>
      </c>
      <c r="F66" s="18" t="s">
        <v>143</v>
      </c>
      <c r="G66" s="18" t="s">
        <v>144</v>
      </c>
    </row>
    <row r="67" customFormat="false" ht="13.5" hidden="false" customHeight="false" outlineLevel="0" collapsed="false">
      <c r="C67" s="132" t="s">
        <v>128</v>
      </c>
      <c r="D67" s="132" t="s">
        <v>145</v>
      </c>
    </row>
    <row r="68" customFormat="false" ht="13.5" hidden="false" customHeight="false" outlineLevel="0" collapsed="false">
      <c r="B68" s="18" t="s">
        <v>139</v>
      </c>
    </row>
    <row r="69" customFormat="false" ht="13.5" hidden="false" customHeight="false" outlineLevel="0" collapsed="false">
      <c r="C69" s="132" t="s">
        <v>126</v>
      </c>
      <c r="D69" s="132" t="s">
        <v>146</v>
      </c>
    </row>
    <row r="70" customFormat="false" ht="13.5" hidden="false" customHeight="false" outlineLevel="0" collapsed="false">
      <c r="B70" s="18" t="s">
        <v>130</v>
      </c>
    </row>
    <row r="71" customFormat="false" ht="14.25" hidden="false" customHeight="false" outlineLevel="0" collapsed="false"/>
    <row r="72" customFormat="false" ht="14.25" hidden="false" customHeight="false" outlineLevel="0" collapsed="false">
      <c r="B72" s="129" t="s">
        <v>122</v>
      </c>
      <c r="C72" s="130" t="s">
        <v>145</v>
      </c>
      <c r="D72" s="130"/>
      <c r="E72" s="130"/>
      <c r="F72" s="131"/>
    </row>
    <row r="73" customFormat="false" ht="13.5" hidden="false" customHeight="false" outlineLevel="0" collapsed="false">
      <c r="B73" s="132" t="s">
        <v>128</v>
      </c>
      <c r="C73" s="132" t="s">
        <v>129</v>
      </c>
    </row>
    <row r="77" customFormat="false" ht="14.25" hidden="false" customHeight="false" outlineLevel="0" collapsed="false">
      <c r="B77" s="18" t="s">
        <v>91</v>
      </c>
      <c r="C77" s="18" t="s">
        <v>92</v>
      </c>
      <c r="D77" s="134" t="n">
        <v>4</v>
      </c>
    </row>
    <row r="78" customFormat="false" ht="14.25" hidden="false" customHeight="false" outlineLevel="0" collapsed="false">
      <c r="C78" s="126" t="s">
        <v>120</v>
      </c>
      <c r="D78" s="127" t="s">
        <v>147</v>
      </c>
      <c r="E78" s="127" t="s">
        <v>19</v>
      </c>
      <c r="F78" s="127"/>
      <c r="G78" s="128"/>
    </row>
    <row r="79" customFormat="false" ht="14.25" hidden="false" customHeight="false" outlineLevel="0" collapsed="false"/>
    <row r="80" customFormat="false" ht="14.25" hidden="false" customHeight="false" outlineLevel="0" collapsed="false">
      <c r="C80" s="129" t="s">
        <v>122</v>
      </c>
      <c r="D80" s="130" t="s">
        <v>123</v>
      </c>
      <c r="E80" s="130"/>
      <c r="F80" s="130"/>
      <c r="G80" s="131"/>
    </row>
    <row r="81" customFormat="false" ht="13.5" hidden="false" customHeight="false" outlineLevel="0" collapsed="false">
      <c r="C81" s="132" t="s">
        <v>124</v>
      </c>
      <c r="D81" s="132" t="s">
        <v>125</v>
      </c>
      <c r="E81" s="98"/>
      <c r="F81" s="98"/>
      <c r="G81" s="98"/>
    </row>
    <row r="82" customFormat="false" ht="13.5" hidden="false" customHeight="false" outlineLevel="0" collapsed="false">
      <c r="C82" s="98"/>
      <c r="D82" s="132" t="s">
        <v>128</v>
      </c>
      <c r="E82" s="132" t="s">
        <v>129</v>
      </c>
      <c r="F82" s="97"/>
      <c r="G82" s="97"/>
    </row>
    <row r="83" customFormat="false" ht="13.5" hidden="false" customHeight="false" outlineLevel="0" collapsed="false">
      <c r="C83" s="132" t="s">
        <v>130</v>
      </c>
      <c r="D83" s="98"/>
      <c r="E83" s="98"/>
      <c r="F83" s="98"/>
      <c r="G83" s="98"/>
    </row>
    <row r="84" customFormat="false" ht="13.5" hidden="false" customHeight="false" outlineLevel="0" collapsed="false">
      <c r="F84" s="98"/>
      <c r="G84" s="98"/>
    </row>
    <row r="85" customFormat="false" ht="14.25" hidden="false" customHeight="false" outlineLevel="0" collapsed="false"/>
    <row r="86" customFormat="false" ht="14.25" hidden="false" customHeight="false" outlineLevel="0" collapsed="false">
      <c r="C86" s="129" t="s">
        <v>122</v>
      </c>
      <c r="D86" s="130" t="s">
        <v>129</v>
      </c>
      <c r="E86" s="130"/>
      <c r="F86" s="130"/>
      <c r="G86" s="131"/>
    </row>
    <row r="87" customFormat="false" ht="13.5" hidden="false" customHeight="false" outlineLevel="0" collapsed="false">
      <c r="C87" s="18" t="s">
        <v>124</v>
      </c>
      <c r="D87" s="18" t="s">
        <v>148</v>
      </c>
    </row>
    <row r="88" customFormat="false" ht="13.5" hidden="false" customHeight="false" outlineLevel="0" collapsed="false">
      <c r="D88" s="18" t="s">
        <v>126</v>
      </c>
      <c r="E88" s="18" t="s">
        <v>149</v>
      </c>
    </row>
    <row r="89" customFormat="false" ht="13.5" hidden="false" customHeight="false" outlineLevel="0" collapsed="false">
      <c r="D89" s="18" t="s">
        <v>128</v>
      </c>
      <c r="E89" s="18" t="s">
        <v>134</v>
      </c>
    </row>
    <row r="90" customFormat="false" ht="13.5" hidden="false" customHeight="false" outlineLevel="0" collapsed="false">
      <c r="C90" s="18" t="s">
        <v>139</v>
      </c>
    </row>
    <row r="91" customFormat="false" ht="13.5" hidden="false" customHeight="false" outlineLevel="0" collapsed="false">
      <c r="D91" s="18" t="s">
        <v>124</v>
      </c>
      <c r="E91" s="18" t="s">
        <v>106</v>
      </c>
    </row>
    <row r="92" customFormat="false" ht="13.5" hidden="false" customHeight="false" outlineLevel="0" collapsed="false">
      <c r="E92" s="18" t="s">
        <v>126</v>
      </c>
      <c r="F92" s="18" t="s">
        <v>150</v>
      </c>
    </row>
    <row r="93" customFormat="false" ht="13.5" hidden="false" customHeight="false" outlineLevel="0" collapsed="false">
      <c r="D93" s="18" t="s">
        <v>130</v>
      </c>
    </row>
    <row r="94" customFormat="false" ht="13.5" hidden="false" customHeight="false" outlineLevel="0" collapsed="false">
      <c r="C94" s="18" t="s">
        <v>130</v>
      </c>
    </row>
    <row r="95" customFormat="false" ht="14.25" hidden="false" customHeight="false" outlineLevel="0" collapsed="false"/>
    <row r="96" customFormat="false" ht="14.25" hidden="false" customHeight="false" outlineLevel="0" collapsed="false">
      <c r="C96" s="129" t="s">
        <v>122</v>
      </c>
      <c r="D96" s="130" t="s">
        <v>134</v>
      </c>
      <c r="E96" s="130"/>
      <c r="F96" s="130"/>
      <c r="G96" s="131"/>
    </row>
    <row r="97" customFormat="false" ht="13.5" hidden="false" customHeight="false" outlineLevel="0" collapsed="false">
      <c r="C97" s="132" t="s">
        <v>124</v>
      </c>
      <c r="D97" s="132" t="s">
        <v>151</v>
      </c>
      <c r="E97" s="98"/>
      <c r="F97" s="98"/>
      <c r="G97" s="98"/>
    </row>
    <row r="98" customFormat="false" ht="13.5" hidden="false" customHeight="false" outlineLevel="0" collapsed="false">
      <c r="D98" s="18" t="s">
        <v>126</v>
      </c>
      <c r="E98" s="18" t="s">
        <v>152</v>
      </c>
    </row>
    <row r="99" customFormat="false" ht="13.5" hidden="false" customHeight="false" outlineLevel="0" collapsed="false">
      <c r="D99" s="132" t="s">
        <v>128</v>
      </c>
      <c r="E99" s="132" t="s">
        <v>129</v>
      </c>
    </row>
    <row r="100" customFormat="false" ht="13.5" hidden="false" customHeight="false" outlineLevel="0" collapsed="false">
      <c r="C100" s="18" t="s">
        <v>139</v>
      </c>
    </row>
    <row r="101" customFormat="false" ht="13.5" hidden="false" customHeight="false" outlineLevel="0" collapsed="false">
      <c r="D101" s="132" t="s">
        <v>126</v>
      </c>
      <c r="E101" s="132" t="s">
        <v>153</v>
      </c>
    </row>
    <row r="102" customFormat="false" ht="13.5" hidden="false" customHeight="false" outlineLevel="0" collapsed="false">
      <c r="C102" s="18" t="s">
        <v>130</v>
      </c>
    </row>
    <row r="104" customFormat="false" ht="13.5" hidden="false" customHeight="false" outlineLevel="0" collapsed="false">
      <c r="B104" s="18" t="s">
        <v>94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" activeCellId="0" sqref="C3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2.75"/>
    <col collapsed="false" customWidth="true" hidden="false" outlineLevel="0" max="2" min="2" style="0" width="9.99"/>
    <col collapsed="false" customWidth="true" hidden="false" outlineLevel="0" max="3" min="3" style="0" width="15.99"/>
    <col collapsed="false" customWidth="true" hidden="false" outlineLevel="0" max="4" min="4" style="0" width="7.99"/>
    <col collapsed="false" customWidth="true" hidden="false" outlineLevel="0" max="5" min="5" style="0" width="10.99"/>
    <col collapsed="false" customWidth="true" hidden="false" outlineLevel="0" max="6" min="6" style="0" width="12.25"/>
    <col collapsed="false" customWidth="true" hidden="false" outlineLevel="0" max="9" min="7" style="0" width="9.12"/>
  </cols>
  <sheetData>
    <row r="1" customFormat="false" ht="13.5" hidden="false" customHeight="false" outlineLevel="0" collapsed="false">
      <c r="B1" s="24" t="s">
        <v>0</v>
      </c>
      <c r="C1" s="25"/>
      <c r="D1" s="25"/>
      <c r="E1" s="25"/>
      <c r="F1" s="26"/>
      <c r="G1" s="10"/>
    </row>
    <row r="2" customFormat="false" ht="13.5" hidden="false" customHeight="false" outlineLevel="0" collapsed="false">
      <c r="B2" s="27" t="s">
        <v>0</v>
      </c>
      <c r="C2" s="91" t="s">
        <v>154</v>
      </c>
      <c r="D2" s="28"/>
      <c r="E2" s="28"/>
      <c r="F2" s="29"/>
      <c r="G2" s="10"/>
    </row>
    <row r="3" customFormat="false" ht="14.25" hidden="false" customHeight="false" outlineLevel="0" collapsed="false">
      <c r="B3" s="30" t="s">
        <v>0</v>
      </c>
      <c r="C3" s="31"/>
      <c r="D3" s="31"/>
      <c r="E3" s="31"/>
      <c r="F3" s="32"/>
      <c r="G3" s="10"/>
    </row>
    <row r="4" customFormat="false" ht="13.5" hidden="false" customHeight="false" outlineLevel="0" collapsed="false">
      <c r="G4" s="10"/>
    </row>
    <row r="5" customFormat="false" ht="13.5" hidden="false" customHeight="false" outlineLevel="0" collapsed="false">
      <c r="A5" s="135"/>
      <c r="B5" s="136" t="s">
        <v>155</v>
      </c>
      <c r="C5" s="137" t="s">
        <v>5</v>
      </c>
      <c r="D5" s="135"/>
      <c r="E5" s="135"/>
      <c r="F5" s="135"/>
      <c r="G5" s="10"/>
      <c r="H5" s="135"/>
      <c r="I5" s="135"/>
    </row>
    <row r="6" customFormat="false" ht="13.5" hidden="false" customHeight="false" outlineLevel="0" collapsed="false">
      <c r="A6" s="135"/>
      <c r="B6" s="135"/>
      <c r="C6" s="137"/>
      <c r="D6" s="135"/>
      <c r="E6" s="135"/>
      <c r="F6" s="135"/>
      <c r="G6" s="10"/>
      <c r="H6" s="135"/>
      <c r="I6" s="135"/>
    </row>
    <row r="7" customFormat="false" ht="14.25" hidden="false" customHeight="false" outlineLevel="0" collapsed="false">
      <c r="A7" s="10"/>
      <c r="B7" s="136" t="s">
        <v>156</v>
      </c>
      <c r="C7" s="137" t="s">
        <v>5</v>
      </c>
      <c r="D7" s="135"/>
      <c r="E7" s="135"/>
      <c r="F7" s="135"/>
      <c r="G7" s="10"/>
      <c r="H7" s="135"/>
      <c r="I7" s="135"/>
    </row>
    <row r="8" customFormat="false" ht="14.25" hidden="false" customHeight="false" outlineLevel="0" collapsed="false">
      <c r="A8" s="10"/>
      <c r="B8" s="138" t="s">
        <v>0</v>
      </c>
      <c r="C8" s="139" t="s">
        <v>157</v>
      </c>
      <c r="D8" s="140"/>
      <c r="E8" s="141"/>
      <c r="F8" s="135"/>
      <c r="G8" s="10"/>
      <c r="H8" s="135"/>
      <c r="I8" s="135"/>
    </row>
    <row r="9" customFormat="false" ht="13.5" hidden="false" customHeight="false" outlineLevel="0" collapsed="false">
      <c r="B9" s="100" t="s">
        <v>158</v>
      </c>
      <c r="C9" s="100" t="s">
        <v>159</v>
      </c>
      <c r="D9" s="100" t="s">
        <v>160</v>
      </c>
      <c r="E9" s="100" t="s">
        <v>161</v>
      </c>
      <c r="F9" s="100"/>
      <c r="G9" s="10"/>
      <c r="H9" s="100"/>
      <c r="I9" s="100"/>
      <c r="J9" s="100"/>
      <c r="K9" s="100"/>
    </row>
    <row r="10" customFormat="false" ht="12.75" hidden="false" customHeight="true" outlineLevel="0" collapsed="false">
      <c r="A10" s="10"/>
      <c r="B10" s="10"/>
      <c r="C10" s="10"/>
      <c r="D10" s="135"/>
      <c r="E10" s="135"/>
      <c r="F10" s="135"/>
      <c r="G10" s="10"/>
      <c r="H10" s="135"/>
      <c r="I10" s="135"/>
    </row>
    <row r="11" customFormat="false" ht="13.5" hidden="false" customHeight="false" outlineLevel="0" collapsed="false">
      <c r="A11" s="10"/>
      <c r="B11" s="136" t="s">
        <v>156</v>
      </c>
      <c r="C11" s="137" t="s">
        <v>162</v>
      </c>
      <c r="D11" s="135"/>
      <c r="E11" s="135"/>
      <c r="F11" s="135"/>
      <c r="G11" s="10"/>
      <c r="H11" s="135"/>
      <c r="I11" s="135"/>
    </row>
    <row r="12" customFormat="false" ht="13.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4.2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4.25" hidden="false" customHeight="false" outlineLevel="0" collapsed="false">
      <c r="A14" s="10"/>
      <c r="B14" s="142" t="s">
        <v>0</v>
      </c>
      <c r="C14" s="143" t="s">
        <v>163</v>
      </c>
      <c r="D14" s="143"/>
      <c r="E14" s="143"/>
      <c r="F14" s="143"/>
      <c r="G14" s="143"/>
      <c r="H14" s="144"/>
      <c r="I14" s="100"/>
      <c r="J14" s="100"/>
      <c r="K14" s="100"/>
    </row>
    <row r="15" customFormat="false" ht="13.5" hidden="false" customHeight="false" outlineLevel="0" collapsed="false">
      <c r="A15" s="10"/>
      <c r="B15" s="100" t="s">
        <v>156</v>
      </c>
      <c r="C15" s="100" t="s">
        <v>161</v>
      </c>
      <c r="D15" s="100"/>
      <c r="E15" s="100"/>
      <c r="F15" s="100"/>
      <c r="G15" s="100"/>
      <c r="H15" s="100"/>
      <c r="I15" s="100"/>
      <c r="J15" s="100"/>
      <c r="K15" s="100"/>
    </row>
    <row r="16" customFormat="false" ht="13.5" hidden="false" customHeight="false" outlineLevel="0" collapsed="false">
      <c r="A16" s="10"/>
      <c r="B16" s="100" t="s">
        <v>164</v>
      </c>
      <c r="C16" s="100" t="s">
        <v>165</v>
      </c>
      <c r="D16" s="100"/>
      <c r="E16" s="100"/>
      <c r="F16" s="100"/>
      <c r="G16" s="100"/>
      <c r="H16" s="100"/>
      <c r="I16" s="100"/>
      <c r="J16" s="100"/>
      <c r="K16" s="100"/>
    </row>
    <row r="17" customFormat="false" ht="13.5" hidden="false" customHeight="false" outlineLevel="0" collapsed="false">
      <c r="A17" s="10"/>
      <c r="B17" s="100" t="s">
        <v>164</v>
      </c>
      <c r="C17" s="100" t="s">
        <v>166</v>
      </c>
      <c r="D17" s="100"/>
      <c r="E17" s="100"/>
      <c r="F17" s="100"/>
      <c r="G17" s="100"/>
      <c r="H17" s="100"/>
      <c r="I17" s="100"/>
      <c r="J17" s="100"/>
      <c r="K17" s="100"/>
    </row>
    <row r="18" customFormat="false" ht="13.5" hidden="false" customHeight="false" outlineLevel="0" collapsed="false">
      <c r="A18" s="10"/>
      <c r="B18" s="100" t="s">
        <v>164</v>
      </c>
      <c r="C18" s="100" t="s">
        <v>167</v>
      </c>
      <c r="D18" s="100"/>
      <c r="E18" s="100"/>
      <c r="F18" s="100"/>
      <c r="G18" s="100"/>
      <c r="H18" s="100"/>
      <c r="I18" s="100"/>
      <c r="J18" s="100"/>
      <c r="K18" s="100"/>
    </row>
    <row r="19" customFormat="false" ht="13.5" hidden="false" customHeight="false" outlineLevel="0" collapsed="false">
      <c r="A19" s="10"/>
      <c r="B19" s="100" t="s">
        <v>164</v>
      </c>
      <c r="C19" s="100" t="s">
        <v>168</v>
      </c>
      <c r="D19" s="100"/>
      <c r="E19" s="100"/>
      <c r="F19" s="100"/>
      <c r="G19" s="100"/>
      <c r="H19" s="100"/>
      <c r="I19" s="100"/>
      <c r="J19" s="100"/>
      <c r="K19" s="100"/>
    </row>
    <row r="20" customFormat="false" ht="13.5" hidden="false" customHeight="false" outlineLevel="0" collapsed="false">
      <c r="A20" s="10"/>
      <c r="B20" s="100" t="s">
        <v>164</v>
      </c>
      <c r="C20" s="100" t="s">
        <v>169</v>
      </c>
      <c r="D20" s="100"/>
      <c r="E20" s="100"/>
      <c r="F20" s="100"/>
      <c r="G20" s="100"/>
      <c r="H20" s="100"/>
      <c r="I20" s="100"/>
      <c r="J20" s="100"/>
      <c r="K20" s="100"/>
    </row>
    <row r="21" customFormat="false" ht="13.5" hidden="false" customHeight="false" outlineLevel="0" collapsed="false">
      <c r="A21" s="10"/>
      <c r="B21" s="100" t="s">
        <v>164</v>
      </c>
      <c r="C21" s="100" t="s">
        <v>118</v>
      </c>
      <c r="D21" s="145" t="s">
        <v>170</v>
      </c>
      <c r="E21" s="100"/>
      <c r="F21" s="100"/>
      <c r="G21" s="100"/>
      <c r="H21" s="100"/>
      <c r="I21" s="100"/>
      <c r="J21" s="100"/>
      <c r="K21" s="100"/>
    </row>
    <row r="22" customFormat="false" ht="13.5" hidden="false" customHeight="false" outlineLevel="0" collapsed="false">
      <c r="A22" s="10"/>
      <c r="B22" s="100" t="s">
        <v>91</v>
      </c>
      <c r="C22" s="100" t="s">
        <v>92</v>
      </c>
      <c r="D22" s="100" t="s">
        <v>171</v>
      </c>
      <c r="E22" s="100"/>
      <c r="F22" s="100"/>
      <c r="G22" s="100"/>
      <c r="H22" s="100"/>
      <c r="I22" s="100"/>
      <c r="J22" s="100"/>
      <c r="K22" s="100"/>
    </row>
    <row r="23" customFormat="false" ht="13.5" hidden="false" customHeight="false" outlineLevel="0" collapsed="false">
      <c r="A23" s="10"/>
      <c r="B23" s="100"/>
      <c r="C23" s="100" t="s">
        <v>172</v>
      </c>
      <c r="D23" s="100" t="s">
        <v>173</v>
      </c>
      <c r="E23" s="100" t="s">
        <v>174</v>
      </c>
      <c r="F23" s="100"/>
      <c r="G23" s="100"/>
      <c r="H23" s="100"/>
      <c r="I23" s="100"/>
      <c r="J23" s="100"/>
      <c r="K23" s="100"/>
    </row>
    <row r="24" customFormat="false" ht="13.5" hidden="false" customHeight="false" outlineLevel="0" collapsed="false">
      <c r="A24" s="10"/>
      <c r="B24" s="100"/>
      <c r="C24" s="100" t="s">
        <v>175</v>
      </c>
      <c r="D24" s="100" t="s">
        <v>176</v>
      </c>
      <c r="E24" s="100"/>
      <c r="F24" s="100"/>
      <c r="G24" s="100"/>
      <c r="H24" s="100"/>
      <c r="I24" s="100"/>
      <c r="J24" s="100"/>
      <c r="K24" s="100"/>
    </row>
    <row r="25" customFormat="false" ht="13.5" hidden="false" customHeight="false" outlineLevel="0" collapsed="false">
      <c r="A25" s="10"/>
      <c r="B25" s="100"/>
      <c r="C25" s="100"/>
      <c r="D25" s="100" t="s">
        <v>177</v>
      </c>
      <c r="E25" s="100"/>
      <c r="F25" s="100"/>
      <c r="G25" s="100"/>
      <c r="H25" s="100"/>
      <c r="I25" s="100"/>
      <c r="J25" s="100"/>
      <c r="K25" s="100"/>
    </row>
    <row r="26" customFormat="false" ht="13.5" hidden="false" customHeight="false" outlineLevel="0" collapsed="false">
      <c r="A26" s="10"/>
      <c r="B26" s="100"/>
      <c r="C26" s="100" t="s">
        <v>178</v>
      </c>
      <c r="D26" s="100"/>
      <c r="E26" s="100"/>
      <c r="F26" s="100"/>
      <c r="G26" s="100"/>
      <c r="H26" s="100"/>
      <c r="I26" s="100"/>
      <c r="J26" s="100"/>
      <c r="K26" s="100"/>
    </row>
    <row r="27" customFormat="false" ht="13.5" hidden="false" customHeight="false" outlineLevel="0" collapsed="false">
      <c r="A27" s="10"/>
      <c r="B27" s="100"/>
      <c r="C27" s="100" t="s">
        <v>175</v>
      </c>
      <c r="D27" s="100" t="s">
        <v>165</v>
      </c>
      <c r="E27" s="100"/>
      <c r="F27" s="100"/>
      <c r="G27" s="100"/>
      <c r="H27" s="100"/>
      <c r="I27" s="100"/>
      <c r="J27" s="100"/>
      <c r="K27" s="100"/>
    </row>
    <row r="28" customFormat="false" ht="13.5" hidden="false" customHeight="false" outlineLevel="0" collapsed="false">
      <c r="A28" s="10"/>
      <c r="B28" s="100"/>
      <c r="C28" s="100"/>
      <c r="D28" s="100" t="s">
        <v>8</v>
      </c>
      <c r="E28" s="100" t="s">
        <v>165</v>
      </c>
      <c r="F28" s="100" t="s">
        <v>176</v>
      </c>
      <c r="G28" s="100"/>
      <c r="H28" s="100"/>
      <c r="I28" s="100"/>
      <c r="J28" s="100"/>
      <c r="K28" s="100"/>
    </row>
    <row r="29" customFormat="false" ht="13.5" hidden="false" customHeight="false" outlineLevel="0" collapsed="false">
      <c r="A29" s="10"/>
      <c r="B29" s="100"/>
      <c r="C29" s="100"/>
      <c r="D29" s="100" t="s">
        <v>177</v>
      </c>
      <c r="E29" s="100"/>
      <c r="F29" s="100"/>
      <c r="G29" s="100"/>
      <c r="H29" s="100"/>
      <c r="I29" s="100"/>
      <c r="J29" s="100"/>
      <c r="K29" s="100"/>
    </row>
    <row r="30" customFormat="false" ht="13.5" hidden="false" customHeight="false" outlineLevel="0" collapsed="false">
      <c r="A30" s="10"/>
      <c r="B30" s="100"/>
      <c r="C30" s="100" t="s">
        <v>178</v>
      </c>
      <c r="D30" s="100"/>
      <c r="E30" s="100"/>
      <c r="F30" s="100"/>
      <c r="G30" s="100"/>
      <c r="H30" s="100"/>
      <c r="I30" s="100"/>
      <c r="J30" s="100"/>
      <c r="K30" s="100"/>
    </row>
    <row r="31" customFormat="false" ht="13.5" hidden="false" customHeight="false" outlineLevel="0" collapsed="false">
      <c r="A31" s="10"/>
      <c r="B31" s="100"/>
      <c r="C31" s="100" t="s">
        <v>175</v>
      </c>
      <c r="D31" s="100" t="s">
        <v>166</v>
      </c>
      <c r="E31" s="100"/>
      <c r="F31" s="100"/>
      <c r="G31" s="100"/>
      <c r="H31" s="100"/>
      <c r="I31" s="100"/>
      <c r="J31" s="100"/>
      <c r="K31" s="100"/>
    </row>
    <row r="32" customFormat="false" ht="13.5" hidden="false" customHeight="false" outlineLevel="0" collapsed="false">
      <c r="A32" s="10"/>
      <c r="B32" s="100"/>
      <c r="C32" s="100"/>
      <c r="D32" s="100" t="s">
        <v>8</v>
      </c>
      <c r="E32" s="100" t="s">
        <v>166</v>
      </c>
      <c r="F32" s="100" t="s">
        <v>176</v>
      </c>
      <c r="G32" s="100"/>
      <c r="H32" s="100"/>
      <c r="I32" s="100"/>
      <c r="J32" s="100"/>
      <c r="K32" s="100"/>
    </row>
    <row r="33" customFormat="false" ht="13.5" hidden="false" customHeight="false" outlineLevel="0" collapsed="false">
      <c r="A33" s="10"/>
      <c r="B33" s="100"/>
      <c r="C33" s="100"/>
      <c r="D33" s="100" t="s">
        <v>177</v>
      </c>
      <c r="E33" s="100"/>
      <c r="F33" s="100"/>
      <c r="G33" s="100"/>
      <c r="H33" s="100"/>
      <c r="I33" s="100"/>
      <c r="J33" s="100"/>
      <c r="K33" s="100"/>
    </row>
    <row r="34" customFormat="false" ht="13.5" hidden="false" customHeight="false" outlineLevel="0" collapsed="false">
      <c r="A34" s="10"/>
      <c r="B34" s="100"/>
      <c r="C34" s="100" t="s">
        <v>178</v>
      </c>
      <c r="D34" s="100"/>
      <c r="E34" s="100"/>
      <c r="F34" s="100"/>
      <c r="G34" s="100"/>
      <c r="H34" s="100"/>
      <c r="I34" s="100"/>
      <c r="J34" s="100"/>
      <c r="K34" s="100"/>
    </row>
    <row r="35" customFormat="false" ht="13.5" hidden="false" customHeight="false" outlineLevel="0" collapsed="false">
      <c r="A35" s="10"/>
      <c r="B35" s="100"/>
      <c r="C35" s="100" t="s">
        <v>175</v>
      </c>
      <c r="D35" s="100" t="s">
        <v>167</v>
      </c>
      <c r="E35" s="100"/>
      <c r="F35" s="100"/>
      <c r="G35" s="100"/>
      <c r="H35" s="100"/>
      <c r="I35" s="100"/>
      <c r="J35" s="100"/>
      <c r="K35" s="100"/>
    </row>
    <row r="36" customFormat="false" ht="13.5" hidden="false" customHeight="false" outlineLevel="0" collapsed="false">
      <c r="A36" s="10"/>
      <c r="B36" s="100"/>
      <c r="C36" s="100"/>
      <c r="D36" s="100" t="s">
        <v>8</v>
      </c>
      <c r="E36" s="100" t="s">
        <v>167</v>
      </c>
      <c r="F36" s="100" t="s">
        <v>176</v>
      </c>
      <c r="G36" s="100"/>
      <c r="H36" s="100"/>
      <c r="I36" s="100"/>
      <c r="J36" s="100"/>
      <c r="K36" s="100"/>
    </row>
    <row r="37" customFormat="false" ht="13.5" hidden="false" customHeight="false" outlineLevel="0" collapsed="false">
      <c r="A37" s="10"/>
      <c r="B37" s="100"/>
      <c r="C37" s="100"/>
      <c r="D37" s="100" t="s">
        <v>177</v>
      </c>
      <c r="E37" s="100"/>
      <c r="F37" s="100"/>
      <c r="G37" s="100"/>
      <c r="H37" s="100"/>
      <c r="I37" s="100"/>
      <c r="J37" s="100"/>
      <c r="K37" s="100"/>
    </row>
    <row r="38" customFormat="false" ht="13.5" hidden="false" customHeight="false" outlineLevel="0" collapsed="false">
      <c r="A38" s="10"/>
      <c r="B38" s="100"/>
      <c r="C38" s="100" t="s">
        <v>178</v>
      </c>
      <c r="D38" s="100"/>
      <c r="E38" s="100"/>
      <c r="F38" s="100"/>
      <c r="G38" s="100"/>
      <c r="H38" s="100"/>
      <c r="I38" s="100"/>
      <c r="J38" s="100"/>
      <c r="K38" s="100"/>
    </row>
    <row r="39" customFormat="false" ht="13.5" hidden="false" customHeight="false" outlineLevel="0" collapsed="false">
      <c r="A39" s="10"/>
      <c r="B39" s="100"/>
      <c r="C39" s="100" t="s">
        <v>175</v>
      </c>
      <c r="D39" s="100" t="s">
        <v>168</v>
      </c>
      <c r="E39" s="100"/>
      <c r="F39" s="100"/>
      <c r="G39" s="100"/>
      <c r="H39" s="100"/>
      <c r="I39" s="100"/>
      <c r="J39" s="100"/>
      <c r="K39" s="100"/>
    </row>
    <row r="40" customFormat="false" ht="13.5" hidden="false" customHeight="false" outlineLevel="0" collapsed="false">
      <c r="A40" s="10"/>
      <c r="B40" s="100"/>
      <c r="C40" s="100"/>
      <c r="D40" s="100" t="s">
        <v>8</v>
      </c>
      <c r="E40" s="100" t="s">
        <v>168</v>
      </c>
      <c r="F40" s="100" t="s">
        <v>176</v>
      </c>
      <c r="G40" s="100"/>
      <c r="H40" s="100"/>
      <c r="I40" s="100"/>
      <c r="J40" s="100"/>
      <c r="K40" s="100"/>
    </row>
    <row r="41" customFormat="false" ht="13.5" hidden="false" customHeight="false" outlineLevel="0" collapsed="false">
      <c r="A41" s="10"/>
      <c r="B41" s="100"/>
      <c r="C41" s="100"/>
      <c r="D41" s="100" t="s">
        <v>177</v>
      </c>
      <c r="E41" s="100"/>
      <c r="F41" s="100"/>
      <c r="G41" s="100"/>
      <c r="H41" s="100"/>
      <c r="I41" s="100"/>
      <c r="J41" s="100"/>
      <c r="K41" s="100"/>
    </row>
    <row r="42" customFormat="false" ht="13.5" hidden="false" customHeight="false" outlineLevel="0" collapsed="false">
      <c r="A42" s="10"/>
      <c r="B42" s="100"/>
      <c r="C42" s="100" t="s">
        <v>178</v>
      </c>
      <c r="D42" s="100"/>
      <c r="E42" s="100"/>
      <c r="F42" s="100"/>
      <c r="G42" s="100"/>
      <c r="H42" s="100"/>
      <c r="I42" s="100"/>
      <c r="J42" s="100"/>
      <c r="K42" s="100"/>
    </row>
    <row r="43" customFormat="false" ht="13.5" hidden="false" customHeight="false" outlineLevel="0" collapsed="false">
      <c r="A43" s="10"/>
      <c r="B43" s="100"/>
      <c r="C43" s="100" t="s">
        <v>179</v>
      </c>
      <c r="D43" s="100" t="s">
        <v>169</v>
      </c>
      <c r="E43" s="100" t="s">
        <v>180</v>
      </c>
      <c r="F43" s="100" t="s">
        <v>176</v>
      </c>
      <c r="G43" s="100"/>
      <c r="H43" s="100"/>
      <c r="I43" s="100"/>
      <c r="J43" s="100"/>
      <c r="K43" s="100"/>
    </row>
    <row r="44" customFormat="false" ht="13.5" hidden="false" customHeight="false" outlineLevel="0" collapsed="false">
      <c r="A44" s="10"/>
      <c r="B44" s="100"/>
      <c r="C44" s="100" t="s">
        <v>8</v>
      </c>
      <c r="D44" s="100" t="s">
        <v>118</v>
      </c>
      <c r="E44" s="100" t="s">
        <v>181</v>
      </c>
      <c r="F44" s="100"/>
      <c r="G44" s="100"/>
      <c r="H44" s="100"/>
      <c r="I44" s="100"/>
      <c r="J44" s="100"/>
      <c r="K44" s="100"/>
    </row>
    <row r="45" customFormat="false" ht="13.5" hidden="false" customHeight="false" outlineLevel="0" collapsed="false">
      <c r="A45" s="10"/>
      <c r="B45" s="100" t="s">
        <v>94</v>
      </c>
      <c r="C45" s="100"/>
      <c r="D45" s="100"/>
      <c r="E45" s="100"/>
      <c r="F45" s="100"/>
      <c r="G45" s="100"/>
      <c r="H45" s="100"/>
      <c r="I45" s="100"/>
      <c r="J45" s="100"/>
      <c r="K45" s="100"/>
    </row>
    <row r="46" customFormat="false" ht="13.5" hidden="false" customHeight="false" outlineLevel="0" collapsed="false">
      <c r="A46" s="10"/>
      <c r="B46" s="100" t="s">
        <v>182</v>
      </c>
      <c r="C46" s="100" t="s">
        <v>183</v>
      </c>
      <c r="D46" s="100"/>
      <c r="E46" s="100"/>
      <c r="F46" s="100"/>
      <c r="G46" s="100"/>
      <c r="H46" s="100"/>
      <c r="I46" s="100"/>
      <c r="J46" s="100"/>
      <c r="K46" s="100"/>
    </row>
    <row r="47" customFormat="false" ht="13.5" hidden="false" customHeight="false" outlineLevel="0" collapsed="false">
      <c r="A47" s="10"/>
      <c r="B47" s="100" t="s">
        <v>184</v>
      </c>
      <c r="C47" s="100" t="s">
        <v>167</v>
      </c>
      <c r="D47" s="100"/>
      <c r="E47" s="100"/>
      <c r="F47" s="100"/>
      <c r="G47" s="100"/>
      <c r="H47" s="100"/>
      <c r="I47" s="100"/>
      <c r="J47" s="100"/>
      <c r="K47" s="100"/>
    </row>
    <row r="48" customFormat="false" ht="13.5" hidden="false" customHeight="false" outlineLevel="0" collapsed="false">
      <c r="A48" s="10"/>
      <c r="B48" s="100"/>
      <c r="C48" s="100" t="s">
        <v>175</v>
      </c>
      <c r="D48" s="100" t="s">
        <v>166</v>
      </c>
      <c r="E48" s="100" t="s">
        <v>100</v>
      </c>
      <c r="F48" s="100"/>
      <c r="G48" s="100"/>
      <c r="H48" s="100"/>
      <c r="I48" s="100"/>
      <c r="J48" s="100"/>
      <c r="K48" s="100"/>
    </row>
    <row r="49" customFormat="false" ht="13.5" hidden="false" customHeight="false" outlineLevel="0" collapsed="false">
      <c r="A49" s="10"/>
      <c r="B49" s="100"/>
      <c r="C49" s="100"/>
      <c r="D49" s="100" t="s">
        <v>185</v>
      </c>
      <c r="E49" s="100" t="s">
        <v>183</v>
      </c>
      <c r="F49" s="100" t="s">
        <v>186</v>
      </c>
      <c r="G49" s="100" t="s">
        <v>187</v>
      </c>
      <c r="H49" s="100"/>
      <c r="I49" s="100"/>
      <c r="J49" s="100"/>
      <c r="K49" s="100"/>
    </row>
    <row r="50" customFormat="false" ht="13.5" hidden="false" customHeight="false" outlineLevel="0" collapsed="false">
      <c r="A50" s="10"/>
      <c r="B50" s="100"/>
      <c r="C50" s="100" t="s">
        <v>188</v>
      </c>
      <c r="D50" s="100"/>
      <c r="E50" s="100"/>
      <c r="F50" s="100"/>
      <c r="G50" s="100"/>
      <c r="H50" s="100"/>
      <c r="I50" s="100"/>
      <c r="J50" s="100"/>
      <c r="K50" s="100"/>
    </row>
    <row r="51" customFormat="false" ht="13.5" hidden="false" customHeight="false" outlineLevel="0" collapsed="false">
      <c r="A51" s="10"/>
      <c r="B51" s="100"/>
      <c r="C51" s="100"/>
      <c r="D51" s="100" t="s">
        <v>184</v>
      </c>
      <c r="E51" s="100" t="s">
        <v>168</v>
      </c>
      <c r="F51" s="100"/>
      <c r="G51" s="100"/>
      <c r="H51" s="100"/>
      <c r="I51" s="100"/>
      <c r="J51" s="100"/>
      <c r="K51" s="100"/>
    </row>
    <row r="52" customFormat="false" ht="13.5" hidden="false" customHeight="false" outlineLevel="0" collapsed="false">
      <c r="A52" s="10"/>
      <c r="B52" s="100"/>
      <c r="C52" s="100"/>
      <c r="D52" s="100"/>
      <c r="E52" s="100" t="s">
        <v>189</v>
      </c>
      <c r="F52" s="100" t="s">
        <v>183</v>
      </c>
      <c r="G52" s="100" t="s">
        <v>186</v>
      </c>
      <c r="H52" s="100" t="s">
        <v>187</v>
      </c>
      <c r="I52" s="100"/>
      <c r="J52" s="100"/>
      <c r="K52" s="100"/>
    </row>
    <row r="53" customFormat="false" ht="13.5" hidden="false" customHeight="false" outlineLevel="0" collapsed="false">
      <c r="A53" s="10"/>
      <c r="B53" s="100"/>
      <c r="C53" s="100"/>
      <c r="D53" s="100" t="s">
        <v>178</v>
      </c>
      <c r="E53" s="100"/>
      <c r="F53" s="100"/>
      <c r="G53" s="100"/>
      <c r="H53" s="100"/>
      <c r="I53" s="100"/>
      <c r="J53" s="100"/>
      <c r="K53" s="100"/>
    </row>
    <row r="54" customFormat="false" ht="13.5" hidden="false" customHeight="false" outlineLevel="0" collapsed="false">
      <c r="A54" s="10"/>
      <c r="B54" s="100"/>
      <c r="C54" s="100" t="s">
        <v>178</v>
      </c>
      <c r="D54" s="100"/>
      <c r="E54" s="100"/>
      <c r="F54" s="100"/>
      <c r="G54" s="100"/>
      <c r="H54" s="100"/>
      <c r="I54" s="100"/>
      <c r="J54" s="100"/>
      <c r="K54" s="100"/>
    </row>
    <row r="55" customFormat="false" ht="13.5" hidden="false" customHeight="false" outlineLevel="0" collapsed="false">
      <c r="A55" s="10"/>
      <c r="B55" s="100" t="s">
        <v>178</v>
      </c>
      <c r="C55" s="100"/>
      <c r="D55" s="100"/>
      <c r="E55" s="100"/>
      <c r="F55" s="100"/>
      <c r="G55" s="100"/>
      <c r="H55" s="100"/>
      <c r="I55" s="100"/>
      <c r="J55" s="100"/>
      <c r="K55" s="100"/>
    </row>
    <row r="56" customFormat="false" ht="13.5" hidden="false" customHeight="false" outlineLevel="0" collapsed="false">
      <c r="A56" s="10"/>
      <c r="B56" s="100"/>
      <c r="C56" s="100"/>
      <c r="D56" s="100"/>
      <c r="E56" s="100"/>
      <c r="F56" s="100"/>
      <c r="G56" s="100"/>
      <c r="H56" s="100"/>
      <c r="I56" s="100"/>
      <c r="J56" s="100"/>
      <c r="K56" s="10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>kasuya99</cp:lastModifiedBy>
  <dcterms:modified xsi:type="dcterms:W3CDTF">2009-03-02T11:47:16Z</dcterms:modified>
  <cp:revision>0</cp:revision>
  <dc:subject/>
  <dc:title/>
</cp:coreProperties>
</file>