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gitwork\csvpp\csvpp_manual\"/>
    </mc:Choice>
  </mc:AlternateContent>
  <xr:revisionPtr revIDLastSave="0" documentId="13_ncr:1_{8CDBBE90-DD6B-4834-8C08-B8202127F510}" xr6:coauthVersionLast="47" xr6:coauthVersionMax="47" xr10:uidLastSave="{00000000-0000-0000-0000-000000000000}"/>
  <bookViews>
    <workbookView xWindow="1095" yWindow="615" windowWidth="26205" windowHeight="14415" tabRatio="858" xr2:uid="{FC99C8AF-63B4-410E-82B8-E83A41F43691}"/>
  </bookViews>
  <sheets>
    <sheet name="目次" sheetId="45" r:id="rId1"/>
    <sheet name="概要" sheetId="48" r:id="rId2"/>
    <sheet name="コマンドリファレンス" sheetId="49" r:id="rId3"/>
    <sheet name="サンプル" sheetId="50" r:id="rId4"/>
    <sheet name="エラーメッセージ" sheetId="51" r:id="rId5"/>
    <sheet name="定義" sheetId="53" r:id="rId6"/>
    <sheet name="構造記述" sheetId="52" r:id="rId7"/>
    <sheet name="モジュール間接続" sheetId="61" r:id="rId8"/>
    <sheet name="タスク、関数" sheetId="62" r:id="rId9"/>
    <sheet name="直書き" sheetId="63" r:id="rId10"/>
    <sheet name="クロック" sheetId="64" r:id="rId11"/>
    <sheet name="ステートマシン(RTL)" sheetId="65" r:id="rId12"/>
    <sheet name="レジスタのANDOR化" sheetId="79" r:id="rId13"/>
    <sheet name="継続的代入" sheetId="80" r:id="rId14"/>
    <sheet name="ワイヤレジスタ" sheetId="81" r:id="rId15"/>
    <sheet name="メモリ定義" sheetId="82" r:id="rId16"/>
    <sheet name="レジスタ動作の追加" sheetId="83" r:id="rId17"/>
    <sheet name="パイプライン" sheetId="84" r:id="rId18"/>
    <sheet name="ステートマシン(テストベンチ用)" sheetId="85" r:id="rId19"/>
    <sheet name="スケジューリングコマンド(テストベンチ用)" sheetId="87" r:id="rId20"/>
    <sheet name="パラメータ_FIFO(テストベンチ用)" sheetId="88" r:id="rId21"/>
    <sheet name="周期タスク(テストベンチ用)" sheetId="89" r:id="rId22"/>
    <sheet name="モジュール間通信(テストベンチ用)" sheetId="90" r:id="rId23"/>
    <sheet name="ファンクションカバレッジ" sheetId="91" r:id="rId24"/>
    <sheet name="ファイルリード(テストベンチ用)" sheetId="92" r:id="rId25"/>
    <sheet name="work" sheetId="30" state="hidden"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4" l="1"/>
  <c r="G189" i="50"/>
  <c r="F189" i="50"/>
  <c r="E189" i="50"/>
  <c r="F79" i="50"/>
  <c r="C79" i="50"/>
  <c r="F78" i="50"/>
  <c r="C78" i="50"/>
  <c r="D31" i="50"/>
</calcChain>
</file>

<file path=xl/sharedStrings.xml><?xml version="1.0" encoding="utf-8"?>
<sst xmlns="http://schemas.openxmlformats.org/spreadsheetml/2006/main" count="4439" uniqueCount="2140">
  <si>
    <t>%shell</t>
  </si>
  <si>
    <t>#st</t>
  </si>
  <si>
    <t>#if</t>
  </si>
  <si>
    <t>#endif</t>
  </si>
  <si>
    <t>#else</t>
  </si>
  <si>
    <t>状態名</t>
  </si>
  <si>
    <t>#go</t>
  </si>
  <si>
    <t>#act</t>
  </si>
  <si>
    <t>#stop</t>
  </si>
  <si>
    <t>#chg</t>
  </si>
  <si>
    <t>#go</t>
    <phoneticPr fontId="1"/>
  </si>
  <si>
    <t>#endif</t>
    <phoneticPr fontId="1"/>
  </si>
  <si>
    <t>#if</t>
    <phoneticPr fontId="1"/>
  </si>
  <si>
    <t>#chg</t>
    <phoneticPr fontId="1"/>
  </si>
  <si>
    <t>%exec</t>
  </si>
  <si>
    <t>メッセージ</t>
  </si>
  <si>
    <t>なし</t>
  </si>
  <si>
    <t>目次</t>
    <rPh sb="0" eb="2">
      <t>モクジ</t>
    </rPh>
    <phoneticPr fontId="1"/>
  </si>
  <si>
    <t>#header</t>
  </si>
  <si>
    <t>//</t>
    <phoneticPr fontId="1"/>
  </si>
  <si>
    <t>%include</t>
    <phoneticPr fontId="1"/>
  </si>
  <si>
    <t>//</t>
  </si>
  <si>
    <t>csvveri_C</t>
  </si>
  <si>
    <t>csvveri</t>
  </si>
  <si>
    <t>model</t>
    <phoneticPr fontId="1"/>
  </si>
  <si>
    <t>クロック</t>
    <phoneticPr fontId="1"/>
  </si>
  <si>
    <t>モデルとテストベンチの接続</t>
    <rPh sb="11" eb="13">
      <t>セツゾク</t>
    </rPh>
    <phoneticPr fontId="1"/>
  </si>
  <si>
    <t>#module</t>
  </si>
  <si>
    <t>%header</t>
    <phoneticPr fontId="1"/>
  </si>
  <si>
    <t>リセット、クロック</t>
    <phoneticPr fontId="1"/>
  </si>
  <si>
    <t>%port</t>
    <phoneticPr fontId="1"/>
  </si>
  <si>
    <t>clk</t>
    <phoneticPr fontId="1"/>
  </si>
  <si>
    <t>input</t>
  </si>
  <si>
    <t>リセット</t>
    <phoneticPr fontId="1"/>
  </si>
  <si>
    <t>cs</t>
    <phoneticPr fontId="1"/>
  </si>
  <si>
    <t>セレクト</t>
    <phoneticPr fontId="1"/>
  </si>
  <si>
    <t>ad</t>
    <phoneticPr fontId="1"/>
  </si>
  <si>
    <t>アドレス／データ</t>
    <phoneticPr fontId="1"/>
  </si>
  <si>
    <t>ack</t>
    <phoneticPr fontId="1"/>
  </si>
  <si>
    <t>1</t>
    <phoneticPr fontId="1"/>
  </si>
  <si>
    <t>reg</t>
    <phoneticPr fontId="1"/>
  </si>
  <si>
    <t>応答</t>
    <rPh sb="0" eb="2">
      <t>オウトウ</t>
    </rPh>
    <phoneticPr fontId="1"/>
  </si>
  <si>
    <t>B Side Interface</t>
    <phoneticPr fontId="1"/>
  </si>
  <si>
    <t>cs_o</t>
    <phoneticPr fontId="1"/>
  </si>
  <si>
    <t>add</t>
    <phoneticPr fontId="1"/>
  </si>
  <si>
    <t>アドレス</t>
    <phoneticPr fontId="1"/>
  </si>
  <si>
    <t>data</t>
    <phoneticPr fontId="1"/>
  </si>
  <si>
    <t>データ</t>
    <phoneticPr fontId="1"/>
  </si>
  <si>
    <t>ack_i</t>
    <phoneticPr fontId="1"/>
  </si>
  <si>
    <t>レジスタ</t>
    <phoneticPr fontId="1"/>
  </si>
  <si>
    <t>#reg</t>
    <phoneticPr fontId="1"/>
  </si>
  <si>
    <t>add_fp</t>
    <phoneticPr fontId="1"/>
  </si>
  <si>
    <t>32</t>
    <phoneticPr fontId="1"/>
  </si>
  <si>
    <t>#st</t>
    <phoneticPr fontId="1"/>
  </si>
  <si>
    <t>ポート定義</t>
    <rPh sb="3" eb="5">
      <t>テイギ</t>
    </rPh>
    <phoneticPr fontId="1"/>
  </si>
  <si>
    <t>model用</t>
    <rPh sb="5" eb="6">
      <t>ヨウ</t>
    </rPh>
    <phoneticPr fontId="1"/>
  </si>
  <si>
    <t>テストベンチ用</t>
    <rPh sb="6" eb="7">
      <t>ヨウ</t>
    </rPh>
    <phoneticPr fontId="1"/>
  </si>
  <si>
    <t>クロック名</t>
    <rPh sb="4" eb="5">
      <t>メイ</t>
    </rPh>
    <phoneticPr fontId="1"/>
  </si>
  <si>
    <t>周期</t>
    <rPh sb="0" eb="2">
      <t>シュウキ</t>
    </rPh>
    <phoneticPr fontId="1"/>
  </si>
  <si>
    <t>変化位置１</t>
    <rPh sb="0" eb="2">
      <t>ヘンカ</t>
    </rPh>
    <rPh sb="2" eb="4">
      <t>イチ</t>
    </rPh>
    <phoneticPr fontId="1"/>
  </si>
  <si>
    <t>変化位置2</t>
    <rPh sb="0" eb="2">
      <t>ヘンカ</t>
    </rPh>
    <rPh sb="2" eb="4">
      <t>イチ</t>
    </rPh>
    <phoneticPr fontId="1"/>
  </si>
  <si>
    <t>初期値</t>
    <rPh sb="0" eb="3">
      <t>ショキチ</t>
    </rPh>
    <phoneticPr fontId="1"/>
  </si>
  <si>
    <t>アサイン信号名</t>
    <rPh sb="4" eb="7">
      <t>シンゴウメイ</t>
    </rPh>
    <phoneticPr fontId="1"/>
  </si>
  <si>
    <t>#clk</t>
  </si>
  <si>
    <t>clko</t>
    <phoneticPr fontId="1"/>
  </si>
  <si>
    <t>#module</t>
    <phoneticPr fontId="1"/>
  </si>
  <si>
    <t>main</t>
    <phoneticPr fontId="1"/>
  </si>
  <si>
    <t>test_port.csv</t>
    <phoneticPr fontId="1"/>
  </si>
  <si>
    <t>#wr</t>
    <phoneticPr fontId="1"/>
  </si>
  <si>
    <t>`include "test.v"</t>
    <phoneticPr fontId="1"/>
  </si>
  <si>
    <t>address</t>
    <phoneticPr fontId="1"/>
  </si>
  <si>
    <t>%acc</t>
  </si>
  <si>
    <t>32'haaaaaaaa</t>
    <phoneticPr fontId="1"/>
  </si>
  <si>
    <t>32'hdddddddd</t>
    <phoneticPr fontId="1"/>
  </si>
  <si>
    <t>32'h55555555</t>
    <phoneticPr fontId="1"/>
  </si>
  <si>
    <t>32'h33333333</t>
    <phoneticPr fontId="1"/>
  </si>
  <si>
    <t>32'hffffffff</t>
    <phoneticPr fontId="1"/>
  </si>
  <si>
    <t>32'h00000000</t>
    <phoneticPr fontId="1"/>
  </si>
  <si>
    <t>32'h12345678</t>
    <phoneticPr fontId="1"/>
  </si>
  <si>
    <t>32'h87654321</t>
    <phoneticPr fontId="1"/>
  </si>
  <si>
    <t>cnt</t>
    <phoneticPr fontId="1"/>
  </si>
  <si>
    <t>%acc_renzoku</t>
    <phoneticPr fontId="1"/>
  </si>
  <si>
    <t>テストシナリオからこのテストベンチをインクルードするのでモジュール定義しない</t>
    <rPh sb="33" eb="35">
      <t>テイギ</t>
    </rPh>
    <phoneticPr fontId="1"/>
  </si>
  <si>
    <t>#chgtrap</t>
    <phoneticPr fontId="1"/>
  </si>
  <si>
    <t>#chgmax</t>
    <phoneticPr fontId="1"/>
  </si>
  <si>
    <t>パラメータとして使う変数の指定</t>
    <rPh sb="8" eb="9">
      <t>ツカ</t>
    </rPh>
    <rPh sb="10" eb="12">
      <t>ヘンスウ</t>
    </rPh>
    <rPh sb="13" eb="15">
      <t>シテイ</t>
    </rPh>
    <phoneticPr fontId="1"/>
  </si>
  <si>
    <t>#patern</t>
    <phoneticPr fontId="1"/>
  </si>
  <si>
    <t>a_parm</t>
    <phoneticPr fontId="1"/>
  </si>
  <si>
    <t>#arymax</t>
    <phoneticPr fontId="1"/>
  </si>
  <si>
    <t>パターン総数</t>
    <rPh sb="4" eb="6">
      <t>ソウスウ</t>
    </rPh>
    <phoneticPr fontId="1"/>
  </si>
  <si>
    <t>#var</t>
    <phoneticPr fontId="1"/>
  </si>
  <si>
    <t>a_add</t>
    <phoneticPr fontId="1"/>
  </si>
  <si>
    <t>a_data</t>
    <phoneticPr fontId="1"/>
  </si>
  <si>
    <t>a_tim</t>
    <phoneticPr fontId="1"/>
  </si>
  <si>
    <t>データ出力タイミング</t>
    <rPh sb="3" eb="5">
      <t>シュツリョク</t>
    </rPh>
    <phoneticPr fontId="1"/>
  </si>
  <si>
    <t>b_parm</t>
    <phoneticPr fontId="1"/>
  </si>
  <si>
    <t>b_tim</t>
    <phoneticPr fontId="1"/>
  </si>
  <si>
    <t>ack_i返送タイミング</t>
    <rPh sb="5" eb="7">
      <t>ヘンソウ</t>
    </rPh>
    <phoneticPr fontId="1"/>
  </si>
  <si>
    <t>初期処理</t>
    <rPh sb="0" eb="2">
      <t>ショキ</t>
    </rPh>
    <rPh sb="2" eb="4">
      <t>ショリ</t>
    </rPh>
    <phoneticPr fontId="1"/>
  </si>
  <si>
    <t>#sp0</t>
    <phoneticPr fontId="1"/>
  </si>
  <si>
    <t>// # Top Initialize ######################</t>
    <phoneticPr fontId="1"/>
  </si>
  <si>
    <t>#sp+</t>
    <phoneticPr fontId="1"/>
  </si>
  <si>
    <t>initial begin</t>
    <phoneticPr fontId="1"/>
  </si>
  <si>
    <t>#10</t>
    <phoneticPr fontId="1"/>
  </si>
  <si>
    <t>$$display("initialize\n");</t>
  </si>
  <si>
    <t>信号の初期化</t>
    <rPh sb="0" eb="2">
      <t>シンゴウ</t>
    </rPh>
    <rPh sb="3" eb="6">
      <t>ショキカ</t>
    </rPh>
    <phoneticPr fontId="1"/>
  </si>
  <si>
    <t>reset_n=1'b0;</t>
    <phoneticPr fontId="1"/>
  </si>
  <si>
    <t>cs = 1'b1;</t>
    <phoneticPr fontId="1"/>
  </si>
  <si>
    <t>ad = 32'hzzzzzzzz;</t>
    <phoneticPr fontId="1"/>
  </si>
  <si>
    <t>ack_i = 1'b1;</t>
    <phoneticPr fontId="1"/>
  </si>
  <si>
    <t>#100000</t>
    <phoneticPr fontId="1"/>
  </si>
  <si>
    <t>reset_n =1'b1;</t>
    <phoneticPr fontId="1"/>
  </si>
  <si>
    <t>テストベンチ起動</t>
    <rPh sb="6" eb="8">
      <t>キドウ</t>
    </rPh>
    <phoneticPr fontId="1"/>
  </si>
  <si>
    <t>test_a_rst;</t>
    <phoneticPr fontId="1"/>
  </si>
  <si>
    <t>test_b_rst;</t>
    <phoneticPr fontId="1"/>
  </si>
  <si>
    <t>$$display("initialize end\n");</t>
    <phoneticPr fontId="1"/>
  </si>
  <si>
    <t>#sp-</t>
    <phoneticPr fontId="1"/>
  </si>
  <si>
    <t>end</t>
    <phoneticPr fontId="1"/>
  </si>
  <si>
    <t>test_aステートマシン</t>
    <phoneticPr fontId="1"/>
  </si>
  <si>
    <t>#status</t>
  </si>
  <si>
    <t>test_a</t>
    <phoneticPr fontId="1"/>
  </si>
  <si>
    <t>#slocal</t>
    <phoneticPr fontId="1"/>
  </si>
  <si>
    <t>0</t>
    <phoneticPr fontId="1"/>
  </si>
  <si>
    <t>asrt</t>
    <phoneticPr fontId="1"/>
  </si>
  <si>
    <t>信号アサート（初期状態）</t>
    <rPh sb="0" eb="2">
      <t>シンゴウ</t>
    </rPh>
    <rPh sb="7" eb="11">
      <t>ショキジョウタイ</t>
    </rPh>
    <phoneticPr fontId="1"/>
  </si>
  <si>
    <t>#cmd</t>
    <phoneticPr fontId="1"/>
  </si>
  <si>
    <t>a_parm_get;</t>
    <phoneticPr fontId="1"/>
  </si>
  <si>
    <t>a_parmパラメータゲット</t>
    <phoneticPr fontId="1"/>
  </si>
  <si>
    <t>0:1'b0</t>
    <phoneticPr fontId="1"/>
  </si>
  <si>
    <t>1:1'b1</t>
    <phoneticPr fontId="1"/>
  </si>
  <si>
    <t>0:a_add</t>
    <phoneticPr fontId="1"/>
  </si>
  <si>
    <t>1:a_data</t>
    <phoneticPr fontId="1"/>
  </si>
  <si>
    <t>@Lcnt = 0;</t>
    <phoneticPr fontId="1"/>
  </si>
  <si>
    <t>ack_wait</t>
    <phoneticPr fontId="1"/>
  </si>
  <si>
    <t>ＡＣＫ待ち</t>
    <rPh sb="3" eb="4">
      <t>マ</t>
    </rPh>
    <phoneticPr fontId="1"/>
  </si>
  <si>
    <t>ack == 1'b0</t>
    <phoneticPr fontId="1"/>
  </si>
  <si>
    <t>a_tim == 0</t>
    <phoneticPr fontId="1"/>
  </si>
  <si>
    <t>#xelse</t>
    <phoneticPr fontId="1"/>
  </si>
  <si>
    <t>acc_wait</t>
    <phoneticPr fontId="1"/>
  </si>
  <si>
    <t>アクセス間隔ウエイト</t>
    <rPh sb="4" eb="6">
      <t>カンカク</t>
    </rPh>
    <phoneticPr fontId="1"/>
  </si>
  <si>
    <t>@Lcnt == a_tim-1</t>
    <phoneticPr fontId="1"/>
  </si>
  <si>
    <t>@Lcnt = @Lcnt + 1;</t>
    <phoneticPr fontId="1"/>
  </si>
  <si>
    <t>test_bステートマシン</t>
    <phoneticPr fontId="1"/>
  </si>
  <si>
    <t>test_b</t>
    <phoneticPr fontId="1"/>
  </si>
  <si>
    <t>ＡＣＫ待ち（初期状態）</t>
    <rPh sb="6" eb="10">
      <t>ショキジョウタイ</t>
    </rPh>
    <phoneticPr fontId="1"/>
  </si>
  <si>
    <t>cs_o == 1'b0</t>
    <phoneticPr fontId="1"/>
  </si>
  <si>
    <t>b_parm_get;</t>
    <phoneticPr fontId="1"/>
  </si>
  <si>
    <t>b_parmパラメータゲット</t>
    <phoneticPr fontId="1"/>
  </si>
  <si>
    <t>wait</t>
    <phoneticPr fontId="1"/>
  </si>
  <si>
    <t>ウエイト</t>
    <phoneticPr fontId="1"/>
  </si>
  <si>
    <t>@Lcnt == b_tim</t>
    <phoneticPr fontId="1"/>
  </si>
  <si>
    <t>1:'b1</t>
    <phoneticPr fontId="1"/>
  </si>
  <si>
    <t>$$display($$time,":address=%x  data=%x",add,data);</t>
    <phoneticPr fontId="1"/>
  </si>
  <si>
    <t>#else</t>
    <phoneticPr fontId="1"/>
  </si>
  <si>
    <t>top</t>
    <phoneticPr fontId="1"/>
  </si>
  <si>
    <t>接続リスト</t>
    <rPh sb="0" eb="2">
      <t>セツゾク</t>
    </rPh>
    <phoneticPr fontId="1"/>
  </si>
  <si>
    <t>#con_head</t>
    <phoneticPr fontId="1"/>
  </si>
  <si>
    <t>#define</t>
    <phoneticPr fontId="1"/>
  </si>
  <si>
    <t>#line</t>
    <phoneticPr fontId="1"/>
  </si>
  <si>
    <t>#con_mod</t>
    <phoneticPr fontId="1"/>
  </si>
  <si>
    <t>#con</t>
    <phoneticPr fontId="1"/>
  </si>
  <si>
    <t>$$dumpfile("c:\csv\aaa.dump");</t>
    <phoneticPr fontId="1"/>
  </si>
  <si>
    <t>$$dumpvars(1,i_model);</t>
    <phoneticPr fontId="1"/>
  </si>
  <si>
    <t>$$dumpvars(1,i_main);</t>
    <phoneticPr fontId="1"/>
  </si>
  <si>
    <t>%class</t>
    <phoneticPr fontId="1"/>
  </si>
  <si>
    <t>%st</t>
    <phoneticPr fontId="1"/>
  </si>
  <si>
    <t>別名定義</t>
    <rPh sb="0" eb="2">
      <t>ベツメイ</t>
    </rPh>
    <rPh sb="2" eb="4">
      <t>テイギ</t>
    </rPh>
    <phoneticPr fontId="1"/>
  </si>
  <si>
    <t>%alias</t>
    <phoneticPr fontId="1"/>
  </si>
  <si>
    <t>%%acc</t>
    <phoneticPr fontId="1"/>
  </si>
  <si>
    <t>%%do</t>
    <phoneticPr fontId="1"/>
  </si>
  <si>
    <t>acc</t>
  </si>
  <si>
    <t>%%acc_renzoku</t>
    <phoneticPr fontId="1"/>
  </si>
  <si>
    <t>acc_renzoku</t>
  </si>
  <si>
    <t>%%port</t>
    <phoneticPr fontId="1"/>
  </si>
  <si>
    <t>port_define</t>
    <phoneticPr fontId="1"/>
  </si>
  <si>
    <t>%%header</t>
    <phoneticPr fontId="1"/>
  </si>
  <si>
    <t>header</t>
    <phoneticPr fontId="1"/>
  </si>
  <si>
    <t>~csvveri_C</t>
  </si>
  <si>
    <t>accマクロ</t>
    <phoneticPr fontId="1"/>
  </si>
  <si>
    <t>%argdefchk</t>
    <phoneticPr fontId="1"/>
  </si>
  <si>
    <t>%rand</t>
    <phoneticPr fontId="1"/>
  </si>
  <si>
    <t>#p_patern</t>
    <phoneticPr fontId="1"/>
  </si>
  <si>
    <t>#set</t>
  </si>
  <si>
    <t>$a_add$</t>
    <phoneticPr fontId="1"/>
  </si>
  <si>
    <t>$a_data$</t>
    <phoneticPr fontId="1"/>
  </si>
  <si>
    <t>$a_tim$</t>
    <phoneticPr fontId="1"/>
  </si>
  <si>
    <t>$b_tim$</t>
    <phoneticPr fontId="1"/>
  </si>
  <si>
    <t>acc_renzoku マクロ</t>
    <phoneticPr fontId="1"/>
  </si>
  <si>
    <t>acc_renzoku</t>
    <phoneticPr fontId="1"/>
  </si>
  <si>
    <t>%for</t>
    <phoneticPr fontId="1"/>
  </si>
  <si>
    <t>i</t>
    <phoneticPr fontId="1"/>
  </si>
  <si>
    <t>$cnt$</t>
    <phoneticPr fontId="1"/>
  </si>
  <si>
    <t>add_h</t>
    <phoneticPr fontId="1"/>
  </si>
  <si>
    <t>'hFFFF</t>
    <phoneticPr fontId="1"/>
  </si>
  <si>
    <t>add_l</t>
    <phoneticPr fontId="1"/>
  </si>
  <si>
    <t>data_h</t>
    <phoneticPr fontId="1"/>
  </si>
  <si>
    <t>data_l</t>
    <phoneticPr fontId="1"/>
  </si>
  <si>
    <t>%do</t>
    <phoneticPr fontId="1"/>
  </si>
  <si>
    <t>acc</t>
    <phoneticPr fontId="1"/>
  </si>
  <si>
    <t>32'h$#%04x#add_h$$#%04x#add_l$</t>
    <phoneticPr fontId="1"/>
  </si>
  <si>
    <t>32'h$#%04x#data_h$$#%04x#data_l$</t>
    <phoneticPr fontId="1"/>
  </si>
  <si>
    <t>%endfor</t>
    <phoneticPr fontId="1"/>
  </si>
  <si>
    <t>ポート宣言</t>
    <rPh sb="3" eb="5">
      <t>センゲン</t>
    </rPh>
    <phoneticPr fontId="1"/>
  </si>
  <si>
    <t>%var</t>
    <phoneticPr fontId="1"/>
  </si>
  <si>
    <t>line</t>
    <phoneticPr fontId="1"/>
  </si>
  <si>
    <t>io</t>
    <phoneticPr fontId="1"/>
  </si>
  <si>
    <t>size</t>
    <phoneticPr fontId="1"/>
  </si>
  <si>
    <t>kbn</t>
    <phoneticPr fontId="1"/>
  </si>
  <si>
    <t>parm</t>
    <phoneticPr fontId="1"/>
  </si>
  <si>
    <t>$argc$</t>
    <phoneticPr fontId="1"/>
  </si>
  <si>
    <t>%aryrd</t>
    <phoneticPr fontId="1"/>
  </si>
  <si>
    <t>argv</t>
    <phoneticPr fontId="1"/>
  </si>
  <si>
    <t>$i$</t>
    <phoneticPr fontId="1"/>
  </si>
  <si>
    <t>%if</t>
    <phoneticPr fontId="1"/>
  </si>
  <si>
    <t>$argv$</t>
    <phoneticPr fontId="1"/>
  </si>
  <si>
    <t>%continue</t>
    <phoneticPr fontId="1"/>
  </si>
  <si>
    <t>%endif</t>
    <phoneticPr fontId="1"/>
  </si>
  <si>
    <t>%set</t>
    <phoneticPr fontId="1"/>
  </si>
  <si>
    <t>%arywr</t>
    <phoneticPr fontId="1"/>
  </si>
  <si>
    <t>$#%02d#cnt+1$</t>
    <phoneticPr fontId="1"/>
  </si>
  <si>
    <t>#$io$</t>
    <phoneticPr fontId="1"/>
  </si>
  <si>
    <t>$line$</t>
    <phoneticPr fontId="1"/>
  </si>
  <si>
    <t>%noif</t>
    <phoneticPr fontId="1"/>
  </si>
  <si>
    <t>input</t>
    <phoneticPr fontId="1"/>
  </si>
  <si>
    <t>#wire</t>
    <phoneticPr fontId="1"/>
  </si>
  <si>
    <t>$size$</t>
    <phoneticPr fontId="1"/>
  </si>
  <si>
    <t>$%parm</t>
    <phoneticPr fontId="1"/>
  </si>
  <si>
    <t>%else</t>
    <phoneticPr fontId="1"/>
  </si>
  <si>
    <t>#$kbn$</t>
    <phoneticPr fontId="1"/>
  </si>
  <si>
    <t>ヘッダ</t>
    <phoneticPr fontId="1"/>
  </si>
  <si>
    <t>%argdef</t>
    <phoneticPr fontId="1"/>
  </si>
  <si>
    <t>func</t>
    <phoneticPr fontId="1"/>
  </si>
  <si>
    <t>mod</t>
    <phoneticPr fontId="1"/>
  </si>
  <si>
    <t>ver</t>
    <phoneticPr fontId="1"/>
  </si>
  <si>
    <t>name</t>
    <phoneticPr fontId="1"/>
  </si>
  <si>
    <t>#header</t>
    <phoneticPr fontId="1"/>
  </si>
  <si>
    <t>########################################################################</t>
    <phoneticPr fontId="1"/>
  </si>
  <si>
    <t>FunctionName : $func$</t>
    <phoneticPr fontId="1"/>
  </si>
  <si>
    <t>File    Name : $mod$.v</t>
    <phoneticPr fontId="1"/>
  </si>
  <si>
    <t>Module  Name : $mod$</t>
    <phoneticPr fontId="1"/>
  </si>
  <si>
    <t>Version      : $ver$</t>
    <phoneticPr fontId="1"/>
  </si>
  <si>
    <t>Author       : $name$</t>
    <phoneticPr fontId="1"/>
  </si>
  <si>
    <t>#wire_reg</t>
  </si>
  <si>
    <t>#default_net</t>
  </si>
  <si>
    <t>#wire_type</t>
  </si>
  <si>
    <t>パラメータ名</t>
  </si>
  <si>
    <t>#rstatus</t>
    <phoneticPr fontId="1"/>
  </si>
  <si>
    <t>#reg_type</t>
  </si>
  <si>
    <t>#task</t>
  </si>
  <si>
    <t>#taskn</t>
  </si>
  <si>
    <t>#taskx</t>
  </si>
  <si>
    <t>#tcmd</t>
  </si>
  <si>
    <t>#tchg</t>
  </si>
  <si>
    <t>#tparm</t>
  </si>
  <si>
    <t>#tlocal</t>
  </si>
  <si>
    <t>#tdiff</t>
  </si>
  <si>
    <t>#tdiffplus</t>
  </si>
  <si>
    <t>#readmemh</t>
  </si>
  <si>
    <t>E000</t>
  </si>
  <si>
    <t>syntax error</t>
  </si>
  <si>
    <t>E001</t>
  </si>
  <si>
    <t>state machine multiple define</t>
  </si>
  <si>
    <t>E002</t>
  </si>
  <si>
    <t>register multiple define</t>
  </si>
  <si>
    <t>E003</t>
  </si>
  <si>
    <t>undefine #status</t>
  </si>
  <si>
    <t>E004</t>
  </si>
  <si>
    <t>state multiple define</t>
  </si>
  <si>
    <t>E005</t>
  </si>
  <si>
    <t>undefine #if/#else - #endif combination error or undefine #st</t>
  </si>
  <si>
    <t>E006</t>
  </si>
  <si>
    <t>E007</t>
  </si>
  <si>
    <t>E008</t>
  </si>
  <si>
    <t>wire multiple define</t>
  </si>
  <si>
    <t>E020</t>
  </si>
  <si>
    <t>undefine #sub</t>
  </si>
  <si>
    <t>E030</t>
  </si>
  <si>
    <t>undefine #function</t>
  </si>
  <si>
    <t>undefine #gate</t>
  </si>
  <si>
    <t>port unmatch</t>
  </si>
  <si>
    <t>undefine #define</t>
  </si>
  <si>
    <t>E051</t>
  </si>
  <si>
    <t>undefine #line</t>
  </si>
  <si>
    <t>E052</t>
  </si>
  <si>
    <t>header undefine</t>
  </si>
  <si>
    <t>E053</t>
  </si>
  <si>
    <t>undefine #con_head</t>
  </si>
  <si>
    <t>E054</t>
  </si>
  <si>
    <t>module undefine</t>
  </si>
  <si>
    <t>E055</t>
  </si>
  <si>
    <t>instance multiple define</t>
  </si>
  <si>
    <t>E070</t>
  </si>
  <si>
    <t>clock multiple define</t>
  </si>
  <si>
    <t>E080</t>
  </si>
  <si>
    <t>E081</t>
  </si>
  <si>
    <t>E090</t>
  </si>
  <si>
    <t>undefine #struct or #extend or #module</t>
  </si>
  <si>
    <t>state machine undefine</t>
  </si>
  <si>
    <t>undefine #wire</t>
  </si>
  <si>
    <t>CSV-Verilog Maker II は Excelで設計する Verilog HDL のエントリツールです。</t>
  </si>
  <si>
    <t>通常の Verilog 記述よりも 数倍速く設計できる高速開発環境を提供します。</t>
  </si>
  <si>
    <t>Excelで回路を記述できるため、第三者にも理解しやすい</t>
  </si>
  <si>
    <t>流用性が高く、設計資産として再利用しやすい</t>
  </si>
  <si>
    <t>Verilog の構造を表形式で管理できるため、ミスが減り品質が向上する</t>
  </si>
  <si>
    <t>csvveri は csvpp を前提として設計されており、csvpp のコマンドがそのまま使用可能</t>
  </si>
  <si>
    <t>・条件分岐</t>
  </si>
  <si>
    <t>・ループ</t>
  </si>
  <si>
    <t>・マクロ展開</t>
  </si>
  <si>
    <t>・自動生成ロジック</t>
  </si>
  <si>
    <t>など、強力なコード生成機能を Verilog 設計に取り込める</t>
  </si>
  <si>
    <t>設計スピードが飛躍的に向上</t>
  </si>
  <si>
    <t>Excelベースのため、レビュー・共有が容易</t>
  </si>
  <si>
    <t>複雑な Verilog 記述をテンプレート化し、自動生成できる</t>
  </si>
  <si>
    <t>csvpp の強力なプリプロセッサ機能を活用可能</t>
  </si>
  <si>
    <t>1. CSV-Verilog Maker II とは</t>
    <phoneticPr fontId="1"/>
  </si>
  <si>
    <t>2. 特徴</t>
    <phoneticPr fontId="1"/>
  </si>
  <si>
    <t>3. メリット</t>
    <phoneticPr fontId="1"/>
  </si>
  <si>
    <t>CSV-Verilog Maker II 概要</t>
  </si>
  <si>
    <t>1. 各種定義コマンド</t>
  </si>
  <si>
    <t>コマンドリファレンス</t>
  </si>
  <si>
    <t>制御子</t>
  </si>
  <si>
    <t>パラメータ</t>
  </si>
  <si>
    <t>説明</t>
  </si>
  <si>
    <t>ヘッダ内容…</t>
  </si>
  <si>
    <t>ファイルヘッダの指定</t>
  </si>
  <si>
    <t>モジュール名</t>
  </si>
  <si>
    <t>モジュール定義</t>
  </si>
  <si>
    <t>#input</t>
  </si>
  <si>
    <t>信号名…</t>
  </si>
  <si>
    <t>入力ポート定義</t>
  </si>
  <si>
    <t>#output</t>
  </si>
  <si>
    <t>出力ポート定義</t>
  </si>
  <si>
    <t>#inout</t>
  </si>
  <si>
    <t>入出力ポート定義</t>
  </si>
  <si>
    <t>#parameter</t>
  </si>
  <si>
    <t>パラメータ名, パラメータ値…</t>
  </si>
  <si>
    <t>パラメータ指定</t>
  </si>
  <si>
    <t>#wire</t>
  </si>
  <si>
    <t>ネット名, バス幅, アサイン式…</t>
  </si>
  <si>
    <t>ワイヤ定義（AND/OR式）</t>
  </si>
  <si>
    <t>#wire_o</t>
  </si>
  <si>
    <t>ネット名, バス幅, 条件式:代入式…</t>
  </si>
  <si>
    <t>ワイヤ定義（if/elseif式）</t>
  </si>
  <si>
    <t>#reg</t>
  </si>
  <si>
    <t>レジスタ名, バス幅, 動作クロック, 条件式:代入式…</t>
  </si>
  <si>
    <t>レジスタ定義（クロック以降省略可）</t>
  </si>
  <si>
    <t>#reg_body</t>
  </si>
  <si>
    <t>レジスタ名, 条件式:代入式…</t>
  </si>
  <si>
    <t>レジスタ動作の追加定義</t>
  </si>
  <si>
    <t>#reg_andor</t>
  </si>
  <si>
    <t>レジスタ名, デフォルト値</t>
  </si>
  <si>
    <t>レジスタ右辺を AND/OR 形式に変更</t>
  </si>
  <si>
    <t>レジスタ名/ネット名, バス幅, 動作クロック, 条件式… # アサイン式…</t>
  </si>
  <si>
    <t>ワイヤ＋レジスタ定義</t>
  </si>
  <si>
    <t>#delay</t>
  </si>
  <si>
    <t>ネット名, #遅延値</t>
  </si>
  <si>
    <t>遅延付加</t>
  </si>
  <si>
    <t>#wire_attr</t>
  </si>
  <si>
    <t>ネット名, tri0/tri1</t>
  </si>
  <si>
    <t>tri0/tri1 属性付加</t>
  </si>
  <si>
    <t>2. 構造記述コマンド</t>
  </si>
  <si>
    <t>#gate</t>
  </si>
  <si>
    <t>モジュール名, ポート名… # ポート名…</t>
  </si>
  <si>
    <t>構造記述定義</t>
  </si>
  <si>
    <t>#net</t>
  </si>
  <si>
    <t>モジュール名, ネット名… # ネット名…</t>
  </si>
  <si>
    <t>構造記述</t>
  </si>
  <si>
    <t>#gate_inst</t>
  </si>
  <si>
    <t>インスタンス名</t>
  </si>
  <si>
    <t>インスタンス名の一時変更</t>
  </si>
  <si>
    <t>3. モジュール間接続表</t>
  </si>
  <si>
    <t>#con_head</t>
  </si>
  <si>
    <t>#define, #line, インスタンス名…</t>
  </si>
  <si>
    <t>コネクションリスト定義1</t>
  </si>
  <si>
    <t>#con_mod</t>
  </si>
  <si>
    <t>モジュール名…</t>
  </si>
  <si>
    <t>コネクションリスト定義2</t>
  </si>
  <si>
    <t>#con</t>
  </si>
  <si>
    <t>ポート名…</t>
  </si>
  <si>
    <t>コネクションリスト</t>
  </si>
  <si>
    <t>デフォルトネット名</t>
  </si>
  <si>
    <t>デフォルトネット名の定義</t>
  </si>
  <si>
    <t>定義名</t>
  </si>
  <si>
    <t>wire の代わりに bit/logic を使用</t>
  </si>
  <si>
    <t>4. タスク・関数</t>
  </si>
  <si>
    <t>#function_direct</t>
  </si>
  <si>
    <t>ディレクティブ…</t>
  </si>
  <si>
    <t>合成ディレクティブ定義</t>
  </si>
  <si>
    <t>#function_case</t>
  </si>
  <si>
    <t>casex/casez</t>
  </si>
  <si>
    <t>casex/casez を使用</t>
  </si>
  <si>
    <t>#function</t>
  </si>
  <si>
    <t>入力信号…, 関数名…</t>
  </si>
  <si>
    <t>関数定義</t>
  </si>
  <si>
    <t>#ftable</t>
  </si>
  <si>
    <t>入力パタン…, 出力値…</t>
  </si>
  <si>
    <t>関数パタン</t>
  </si>
  <si>
    <t>#sub</t>
  </si>
  <si>
    <t>関数名, 戻り値</t>
  </si>
  <si>
    <t>関数名</t>
  </si>
  <si>
    <t>タスク定義</t>
  </si>
  <si>
    <t>5. Verilog直書き</t>
  </si>
  <si>
    <t>#wr</t>
  </si>
  <si>
    <t>命令1～命令n</t>
  </si>
  <si>
    <t>Verilogそのまま出力</t>
  </si>
  <si>
    <t>#body</t>
  </si>
  <si>
    <t>モジュール外に Verilog 出力</t>
  </si>
  <si>
    <t>#sp0</t>
  </si>
  <si>
    <t>カラム位置を 0 にする</t>
  </si>
  <si>
    <t>#sp+</t>
  </si>
  <si>
    <t>カラム位置を +2</t>
  </si>
  <si>
    <t>#sp-</t>
  </si>
  <si>
    <t>カラム位置を -2</t>
  </si>
  <si>
    <t>6. クロック定義（テストベンチ）</t>
  </si>
  <si>
    <t>クロック名, 周期, 変化位置1, 変化位置2, 初期値, アサイン信号名</t>
  </si>
  <si>
    <t>クロック定義</t>
  </si>
  <si>
    <t>7. パラメータ（テストベンチ）</t>
  </si>
  <si>
    <t>#patern</t>
  </si>
  <si>
    <t>パラメータ定義</t>
  </si>
  <si>
    <t>#endrtn</t>
  </si>
  <si>
    <t>タスク名</t>
  </si>
  <si>
    <t>シミュレーション終了時のタスク</t>
  </si>
  <si>
    <t>#arymax</t>
  </si>
  <si>
    <t>パラメータ総数</t>
  </si>
  <si>
    <t>パラメータ総数指定</t>
  </si>
  <si>
    <t>#var</t>
  </si>
  <si>
    <t>項目名, ビット幅</t>
  </si>
  <si>
    <t>パラメータ項目指定</t>
  </si>
  <si>
    <t>#p_patern</t>
  </si>
  <si>
    <t>パラメータにデータ付与</t>
  </si>
  <si>
    <t>データ1…データn</t>
  </si>
  <si>
    <t>パラメータデータ指定</t>
  </si>
  <si>
    <t>8. RTL用ステートマシン</t>
  </si>
  <si>
    <t>#rstatus</t>
  </si>
  <si>
    <t>ステータス名, 動作クロック, リセット…</t>
  </si>
  <si>
    <t>ステータスモード切替</t>
  </si>
  <si>
    <t>状態定義</t>
  </si>
  <si>
    <t>条件</t>
  </si>
  <si>
    <t>条件分岐</t>
  </si>
  <si>
    <t>#elseif</t>
  </si>
  <si>
    <t>背反条件</t>
  </si>
  <si>
    <t>#xelseif</t>
  </si>
  <si>
    <t>一行条件分岐</t>
  </si>
  <si>
    <t>#xelse</t>
  </si>
  <si>
    <t>条件終了</t>
  </si>
  <si>
    <t>状態名…</t>
  </si>
  <si>
    <t>状態遷移</t>
  </si>
  <si>
    <t>状態アクティブ</t>
  </si>
  <si>
    <t>状態インアクティブ</t>
  </si>
  <si>
    <t>#cmd</t>
  </si>
  <si>
    <t>代入式…</t>
  </si>
  <si>
    <t>コマンド</t>
  </si>
  <si>
    <t>#pull</t>
  </si>
  <si>
    <t>ワイヤ名</t>
  </si>
  <si>
    <t>条件抜き出し</t>
  </si>
  <si>
    <t>#assign</t>
  </si>
  <si>
    <t>ワイヤ名, アサイン式…</t>
  </si>
  <si>
    <t>条件抜き出し＋継続代入</t>
  </si>
  <si>
    <t>レジスタ名, サイクル:値…</t>
  </si>
  <si>
    <t>スケジューリング</t>
  </si>
  <si>
    <t>wire の代替定義</t>
  </si>
  <si>
    <t>reg の代替定義</t>
  </si>
  <si>
    <t>9. ステートマシン（テストベンチ）</t>
  </si>
  <si>
    <t>ステータス名, クロック</t>
  </si>
  <si>
    <t>状態遷移定義</t>
  </si>
  <si>
    <t>#slocal</t>
  </si>
  <si>
    <t>変数名, ビット幅, 初期値</t>
  </si>
  <si>
    <t>ローカル変数</t>
  </si>
  <si>
    <t>#sparm</t>
  </si>
  <si>
    <t>変数名, ビット幅</t>
  </si>
  <si>
    <t>パラメータ変数</t>
  </si>
  <si>
    <t>#exec</t>
  </si>
  <si>
    <t>状態実行</t>
  </si>
  <si>
    <t>命令</t>
  </si>
  <si>
    <t>信号名, クロック, 変化点:値…</t>
  </si>
  <si>
    <t>#chg #cmd</t>
  </si>
  <si>
    <t>クロック, 変化点:命令…</t>
  </si>
  <si>
    <t>スケジューリング（命令版）</t>
  </si>
  <si>
    <t>10. 周期タスク（テストベンチ）</t>
  </si>
  <si>
    <t>タスク名, クロック, 動作クロック数, 間隔, 回数</t>
  </si>
  <si>
    <t>周期タスク（立ち上がり）</t>
  </si>
  <si>
    <t>同上</t>
  </si>
  <si>
    <t>周期タスク（立ち下がり）</t>
  </si>
  <si>
    <t>周期タスク（両エッジ）</t>
  </si>
  <si>
    <t>サイクル数</t>
  </si>
  <si>
    <t>相対位置変更</t>
  </si>
  <si>
    <t>現在位置から加算</t>
  </si>
  <si>
    <t>11. モジュール間通信インターフェース（テストベンチ）</t>
  </si>
  <si>
    <t>#inf_send</t>
  </si>
  <si>
    <t>ラベル</t>
  </si>
  <si>
    <t>送信側インターフェース</t>
  </si>
  <si>
    <t>#inf_recv</t>
  </si>
  <si>
    <t>ラベル, FIFOサイズ</t>
  </si>
  <si>
    <t>受信側インターフェース</t>
  </si>
  <si>
    <t>#inf_enable</t>
  </si>
  <si>
    <t>信号名</t>
  </si>
  <si>
    <t>インターフェースイネーブル</t>
  </si>
  <si>
    <t>#inf</t>
  </si>
  <si>
    <t>信号名, ビット幅</t>
  </si>
  <si>
    <t>インターフェース信号定義</t>
  </si>
  <si>
    <t>12. ファンクションカバレッジ</t>
  </si>
  <si>
    <t>#coverage</t>
  </si>
  <si>
    <t>クロック, 式</t>
  </si>
  <si>
    <t>式が真の時にカバレッジ記録</t>
  </si>
  <si>
    <t>13. ファイルリード</t>
  </si>
  <si>
    <t>ポインタ, 配列数, ファイル名</t>
  </si>
  <si>
    <t>$readmemh の定義</t>
  </si>
  <si>
    <t>#readvar</t>
  </si>
  <si>
    <t>変数名, バイト数</t>
  </si>
  <si>
    <t>$readmemh 用変数定義</t>
  </si>
  <si>
    <t>csvveri_sample.xls（サンプル）</t>
    <phoneticPr fontId="1"/>
  </si>
  <si>
    <t>シート一覧</t>
  </si>
  <si>
    <t>cmd</t>
  </si>
  <si>
    <t>model</t>
  </si>
  <si>
    <t>clk</t>
  </si>
  <si>
    <t>main</t>
  </si>
  <si>
    <t>test</t>
  </si>
  <si>
    <t>test_port</t>
  </si>
  <si>
    <t>top</t>
  </si>
  <si>
    <t>シート「cmd」</t>
  </si>
  <si>
    <t>%include</t>
  </si>
  <si>
    <t>csvveri_C.csv</t>
  </si>
  <si>
    <t>%classcall</t>
  </si>
  <si>
    <t>del c:\csv\*.v</t>
  </si>
  <si>
    <t>#c:\csv\modelZ.csv</t>
  </si>
  <si>
    <t>c:\csv\model.v</t>
  </si>
  <si>
    <t>RTLモデル</t>
  </si>
  <si>
    <t>model.csv</t>
  </si>
  <si>
    <t>#c:\csv\mainZ.csv</t>
  </si>
  <si>
    <t>c:\csv\main.v</t>
  </si>
  <si>
    <t>テストシナリオ</t>
  </si>
  <si>
    <t>main.csv</t>
  </si>
  <si>
    <t>#c:\csv\clkZ.csv</t>
  </si>
  <si>
    <t>c:\csv\clk.v</t>
  </si>
  <si>
    <t>クロック</t>
  </si>
  <si>
    <t>clk.csv</t>
  </si>
  <si>
    <t>#c:\csv\testZ.csv</t>
  </si>
  <si>
    <t>c:\csv\test.v</t>
  </si>
  <si>
    <t>テストベンチ</t>
  </si>
  <si>
    <t>test.csv</t>
  </si>
  <si>
    <t>#c:\csv\topZ.csv</t>
  </si>
  <si>
    <t>c:\csv\top.v</t>
  </si>
  <si>
    <t>top.csv</t>
  </si>
  <si>
    <t>シート「model」</t>
  </si>
  <si>
    <t>sample model</t>
    <phoneticPr fontId="1"/>
  </si>
  <si>
    <t>1.00</t>
    <phoneticPr fontId="1"/>
  </si>
  <si>
    <t>S.Kasuya</t>
    <phoneticPr fontId="1"/>
  </si>
  <si>
    <t>reset_n</t>
    <phoneticPr fontId="1"/>
  </si>
  <si>
    <t>A Side Interface</t>
    <phoneticPr fontId="1"/>
  </si>
  <si>
    <t>output</t>
    <phoneticPr fontId="1"/>
  </si>
  <si>
    <t>@~reset_n:1'b1</t>
    <phoneticPr fontId="1"/>
  </si>
  <si>
    <t>@~reset_n:32'b0</t>
    <phoneticPr fontId="1"/>
  </si>
  <si>
    <t>sample</t>
    <phoneticPr fontId="1"/>
  </si>
  <si>
    <t>@~reset_n</t>
    <phoneticPr fontId="1"/>
  </si>
  <si>
    <t>idle</t>
    <phoneticPr fontId="1"/>
  </si>
  <si>
    <t>~cs</t>
    <phoneticPr fontId="1"/>
  </si>
  <si>
    <t>add_fp = ad;</t>
    <phoneticPr fontId="1"/>
  </si>
  <si>
    <t>add = add_fp;</t>
    <phoneticPr fontId="1"/>
  </si>
  <si>
    <t>data = ad;</t>
    <phoneticPr fontId="1"/>
  </si>
  <si>
    <t>~ack_i</t>
    <phoneticPr fontId="1"/>
  </si>
  <si>
    <t>add = 32'h0;</t>
    <phoneticPr fontId="1"/>
  </si>
  <si>
    <t>data = 32'h0;</t>
    <phoneticPr fontId="1"/>
  </si>
  <si>
    <t>wait2</t>
    <phoneticPr fontId="1"/>
  </si>
  <si>
    <t>wire</t>
    <phoneticPr fontId="1"/>
  </si>
  <si>
    <t>シート「clk」</t>
  </si>
  <si>
    <t>シート「main」</t>
    <phoneticPr fontId="1"/>
  </si>
  <si>
    <t>シート「test」</t>
  </si>
  <si>
    <t>シート「test_port」</t>
  </si>
  <si>
    <t>シート「top」</t>
  </si>
  <si>
    <t>シート「csvveri_C」</t>
  </si>
  <si>
    <t>エラーメッセージ一覧</t>
  </si>
  <si>
    <t>エラー書式</t>
  </si>
  <si>
    <t xml:space="preserve">CSV File Read Error:コード名:メッセージ [command:コマンド]  </t>
  </si>
  <si>
    <t>SEL=エラー箇所  FILE=ファイル名  SEL_DATA=エラーデータ</t>
  </si>
  <si>
    <t>サンプル</t>
  </si>
  <si>
    <t xml:space="preserve">CSV File Read Error:E000:syntax error [command=32'h9000]  </t>
  </si>
  <si>
    <t>SEL=A3  FILE=c:\csv\mainZ.csv  SEL_DATA=32'h9000</t>
  </si>
  <si>
    <t>コード名</t>
  </si>
  <si>
    <t>文法エラーです。</t>
  </si>
  <si>
    <t>ステートマシンが２重定義されています。</t>
  </si>
  <si>
    <t>レジスタが２重定義されています。</t>
  </si>
  <si>
    <t>#status 定義がされていません。</t>
  </si>
  <si>
    <t>状態が２重定義されています。</t>
  </si>
  <si>
    <t>#if/#else～#endif の組み合わせに間違いがあります。</t>
  </si>
  <si>
    <t>schedule cycle unnumelic</t>
  </si>
  <si>
    <t>#chg コマンドのサイクル数が数値ではありません。</t>
  </si>
  <si>
    <t>undefine #reg</t>
  </si>
  <si>
    <t>#reg が定義されていません。</t>
  </si>
  <si>
    <t>wire 名が二重定義です。</t>
  </si>
  <si>
    <t>#sub 定義がされていません。</t>
  </si>
  <si>
    <t>#function 定義がされていません。</t>
  </si>
  <si>
    <t>E040</t>
  </si>
  <si>
    <t>#gate が定義されていません。</t>
  </si>
  <si>
    <t>E041</t>
  </si>
  <si>
    <t>#gate で定義されているポート数と数が合っていません。</t>
  </si>
  <si>
    <t>E050</t>
  </si>
  <si>
    <t>#define が定義されていません。</t>
  </si>
  <si>
    <t>#line が定義されていません。</t>
  </si>
  <si>
    <t>ヘッダが定義されていません。</t>
  </si>
  <si>
    <t>#con_head が定義されていません。</t>
  </si>
  <si>
    <t>モジュール名が定義されていません。</t>
  </si>
  <si>
    <t>インスタンス名が二重定義です。</t>
  </si>
  <si>
    <t>クロックが２重定義されています。</t>
  </si>
  <si>
    <t>undefine #patern</t>
  </si>
  <si>
    <t>#patern 定義がされていません。</t>
  </si>
  <si>
    <t>undefine #p_patern</t>
  </si>
  <si>
    <t>#p_patern 定義がされていません。</t>
  </si>
  <si>
    <t>#module 定義がされていません。</t>
  </si>
  <si>
    <t>E100</t>
  </si>
  <si>
    <t>undefine #inf_send/#inf_recv</t>
  </si>
  <si>
    <t>#inf_send/#inf_recv のラベルが定義されていません。</t>
  </si>
  <si>
    <t>E101</t>
  </si>
  <si>
    <t>multiple define #inf_send/#inf_recv</t>
  </si>
  <si>
    <t>#inf_send/#inf_recv のラベルが二重定義です。</t>
  </si>
  <si>
    <t>W000</t>
  </si>
  <si>
    <t>ステートマシンが定義されていません。</t>
  </si>
  <si>
    <t>W001</t>
  </si>
  <si>
    <t>#wire が定義されていません。</t>
  </si>
  <si>
    <t xml:space="preserve">  #################################################</t>
    <phoneticPr fontId="1"/>
  </si>
  <si>
    <t xml:space="preserve">    Project : AAA Project</t>
    <phoneticPr fontId="1"/>
  </si>
  <si>
    <t xml:space="preserve">    File    : aaa.v</t>
    <phoneticPr fontId="1"/>
  </si>
  <si>
    <t xml:space="preserve">    Module  : aaa</t>
    <phoneticPr fontId="1"/>
  </si>
  <si>
    <t>mod_abc</t>
    <phoneticPr fontId="1"/>
  </si>
  <si>
    <t>信号名</t>
    <rPh sb="0" eb="2">
      <t>シンゴウ</t>
    </rPh>
    <rPh sb="2" eb="3">
      <t>メイ</t>
    </rPh>
    <phoneticPr fontId="1"/>
  </si>
  <si>
    <t>#inout</t>
    <phoneticPr fontId="1"/>
  </si>
  <si>
    <t>io0</t>
    <phoneticPr fontId="1"/>
  </si>
  <si>
    <t>io1</t>
    <phoneticPr fontId="1"/>
  </si>
  <si>
    <t>#input</t>
    <phoneticPr fontId="1"/>
  </si>
  <si>
    <t>in0</t>
    <phoneticPr fontId="1"/>
  </si>
  <si>
    <t>in1</t>
    <phoneticPr fontId="1"/>
  </si>
  <si>
    <t>in2</t>
    <phoneticPr fontId="1"/>
  </si>
  <si>
    <t>in3</t>
    <phoneticPr fontId="1"/>
  </si>
  <si>
    <t>in4</t>
    <phoneticPr fontId="1"/>
  </si>
  <si>
    <t>#output</t>
    <phoneticPr fontId="1"/>
  </si>
  <si>
    <t>out0</t>
    <phoneticPr fontId="1"/>
  </si>
  <si>
    <t>out1</t>
    <phoneticPr fontId="1"/>
  </si>
  <si>
    <t>out2</t>
    <phoneticPr fontId="1"/>
  </si>
  <si>
    <t>#parameter</t>
    <phoneticPr fontId="1"/>
  </si>
  <si>
    <t>AAA</t>
    <phoneticPr fontId="1"/>
  </si>
  <si>
    <t>32'b55550000</t>
    <phoneticPr fontId="1"/>
  </si>
  <si>
    <t>in1</t>
  </si>
  <si>
    <t>in2</t>
  </si>
  <si>
    <t>in3</t>
  </si>
  <si>
    <t>in4</t>
  </si>
  <si>
    <t>aaa</t>
    <phoneticPr fontId="1"/>
  </si>
  <si>
    <t>bbb</t>
    <phoneticPr fontId="1"/>
  </si>
  <si>
    <t>ccc</t>
    <phoneticPr fontId="1"/>
  </si>
  <si>
    <t>ccc &amp; ddd</t>
    <phoneticPr fontId="1"/>
  </si>
  <si>
    <t>eee</t>
    <phoneticPr fontId="1"/>
  </si>
  <si>
    <t>a</t>
    <phoneticPr fontId="1"/>
  </si>
  <si>
    <t>&amp; b</t>
    <phoneticPr fontId="1"/>
  </si>
  <si>
    <t>&amp; c</t>
    <phoneticPr fontId="1"/>
  </si>
  <si>
    <t>#wire_o</t>
    <phoneticPr fontId="1"/>
  </si>
  <si>
    <t>cs0:dt0</t>
    <phoneticPr fontId="1"/>
  </si>
  <si>
    <t>cs1:dt1</t>
    <phoneticPr fontId="1"/>
  </si>
  <si>
    <t>cs2:dt2</t>
    <phoneticPr fontId="1"/>
  </si>
  <si>
    <t xml:space="preserve"> -:dt3</t>
    <phoneticPr fontId="1"/>
  </si>
  <si>
    <t>aclk</t>
    <phoneticPr fontId="1"/>
  </si>
  <si>
    <t>@reset:1'b0</t>
    <phoneticPr fontId="1"/>
  </si>
  <si>
    <t>8</t>
    <phoneticPr fontId="1"/>
  </si>
  <si>
    <t>ff0</t>
    <phoneticPr fontId="1"/>
  </si>
  <si>
    <t>@ff1:1'b0</t>
    <phoneticPr fontId="1"/>
  </si>
  <si>
    <t>din:1'b1</t>
    <phoneticPr fontId="1"/>
  </si>
  <si>
    <t>ff1</t>
  </si>
  <si>
    <t>bclk</t>
    <phoneticPr fontId="1"/>
  </si>
  <si>
    <t>-:ff0</t>
    <phoneticPr fontId="1"/>
  </si>
  <si>
    <t>ff2</t>
  </si>
  <si>
    <t>ff1:1'b0</t>
    <phoneticPr fontId="1"/>
  </si>
  <si>
    <t>ff3</t>
  </si>
  <si>
    <t>~bclk</t>
    <phoneticPr fontId="1"/>
  </si>
  <si>
    <t>-:din</t>
    <phoneticPr fontId="1"/>
  </si>
  <si>
    <t>#wire_reg</t>
    <phoneticPr fontId="1"/>
  </si>
  <si>
    <t>@~rst:32'h0</t>
    <phoneticPr fontId="1"/>
  </si>
  <si>
    <t>#</t>
    <phoneticPr fontId="1"/>
  </si>
  <si>
    <t>en ? @ : 32'hzzzzzzzz</t>
    <phoneticPr fontId="1"/>
  </si>
  <si>
    <t xml:space="preserve">  assign add = en ? add_pp : 32'hzzzzzzzz; // _CELL:[B7]</t>
  </si>
  <si>
    <t>kkk</t>
    <phoneticPr fontId="1"/>
  </si>
  <si>
    <t>#wire_attr</t>
    <phoneticPr fontId="1"/>
  </si>
  <si>
    <t>tri1</t>
    <phoneticPr fontId="1"/>
  </si>
  <si>
    <t xml:space="preserve">  tri1 [31:0] kkk;</t>
    <phoneticPr fontId="1"/>
  </si>
  <si>
    <t>on</t>
    <phoneticPr fontId="1"/>
  </si>
  <si>
    <t>#</t>
  </si>
  <si>
    <t>t</t>
    <phoneticPr fontId="1"/>
  </si>
  <si>
    <t>l</t>
    <phoneticPr fontId="1"/>
  </si>
  <si>
    <t>on1</t>
    <phoneticPr fontId="1"/>
  </si>
  <si>
    <t>on2</t>
    <phoneticPr fontId="1"/>
  </si>
  <si>
    <t>o</t>
    <phoneticPr fontId="1"/>
  </si>
  <si>
    <t>e</t>
    <phoneticPr fontId="1"/>
  </si>
  <si>
    <t>#gate</t>
    <phoneticPr fontId="1"/>
  </si>
  <si>
    <t>ddd</t>
    <phoneticPr fontId="1"/>
  </si>
  <si>
    <t>ob</t>
    <phoneticPr fontId="1"/>
  </si>
  <si>
    <t>#net</t>
    <phoneticPr fontId="1"/>
  </si>
  <si>
    <t>a00</t>
    <phoneticPr fontId="1"/>
  </si>
  <si>
    <t>a[0]</t>
    <phoneticPr fontId="1"/>
  </si>
  <si>
    <t>zd[0]</t>
    <phoneticPr fontId="1"/>
  </si>
  <si>
    <t>yd[0]</t>
    <phoneticPr fontId="1"/>
  </si>
  <si>
    <t>gate</t>
    <phoneticPr fontId="1"/>
  </si>
  <si>
    <t>d00</t>
    <phoneticPr fontId="1"/>
  </si>
  <si>
    <t>zd[1]</t>
  </si>
  <si>
    <t>yd[1]</t>
  </si>
  <si>
    <t>d01</t>
  </si>
  <si>
    <t>zd[2]</t>
  </si>
  <si>
    <t>yd[2]</t>
  </si>
  <si>
    <t>d02</t>
  </si>
  <si>
    <t>zd[3]</t>
  </si>
  <si>
    <t>yd[3]</t>
  </si>
  <si>
    <t>d03</t>
  </si>
  <si>
    <t>zd[4]</t>
  </si>
  <si>
    <t>yd[4]</t>
  </si>
  <si>
    <t>d04</t>
  </si>
  <si>
    <t>zd[5]</t>
  </si>
  <si>
    <t>yd[5]</t>
  </si>
  <si>
    <t>d05</t>
  </si>
  <si>
    <t>zd[6]</t>
  </si>
  <si>
    <t>yd[6]</t>
  </si>
  <si>
    <t>d06</t>
  </si>
  <si>
    <t>zd[7]</t>
  </si>
  <si>
    <t>yd[7]</t>
  </si>
  <si>
    <t>d07</t>
  </si>
  <si>
    <t>zd[8]</t>
  </si>
  <si>
    <t>yd[8]</t>
  </si>
  <si>
    <t>d08</t>
  </si>
  <si>
    <t>zd[9]</t>
  </si>
  <si>
    <t>yd[9]</t>
  </si>
  <si>
    <t>d09</t>
  </si>
  <si>
    <t>zd[10]</t>
  </si>
  <si>
    <t>yd[10]</t>
  </si>
  <si>
    <t>d10</t>
  </si>
  <si>
    <t>zd[11]</t>
  </si>
  <si>
    <t>yd[11]</t>
  </si>
  <si>
    <t>d11</t>
  </si>
  <si>
    <t>zd[12]</t>
  </si>
  <si>
    <t>yd[12]</t>
  </si>
  <si>
    <t>d12</t>
  </si>
  <si>
    <t>zd[13]</t>
  </si>
  <si>
    <t>yd[13]</t>
  </si>
  <si>
    <t>d13</t>
  </si>
  <si>
    <t>zd[14]</t>
  </si>
  <si>
    <t>yd[14]</t>
  </si>
  <si>
    <t>d14</t>
  </si>
  <si>
    <t>zd[15]</t>
  </si>
  <si>
    <t>yd[15]</t>
  </si>
  <si>
    <t>d15</t>
  </si>
  <si>
    <t>#gate_inst</t>
    <phoneticPr fontId="1"/>
  </si>
  <si>
    <t>D14</t>
    <phoneticPr fontId="1"/>
  </si>
  <si>
    <t>インスタンスD14の指定</t>
    <rPh sb="10" eb="12">
      <t>シテイ</t>
    </rPh>
    <phoneticPr fontId="1"/>
  </si>
  <si>
    <t>D15</t>
    <phoneticPr fontId="1"/>
  </si>
  <si>
    <t>インスタンスD15の指定</t>
    <rPh sb="10" eb="12">
      <t>シテイ</t>
    </rPh>
    <phoneticPr fontId="1"/>
  </si>
  <si>
    <t>i_abc</t>
    <phoneticPr fontId="1"/>
  </si>
  <si>
    <t>i_eee</t>
    <phoneticPr fontId="1"/>
  </si>
  <si>
    <t>i_fff</t>
    <phoneticPr fontId="1"/>
  </si>
  <si>
    <t>m_aa</t>
    <phoneticPr fontId="1"/>
  </si>
  <si>
    <t>m_bb</t>
    <phoneticPr fontId="1"/>
  </si>
  <si>
    <t>zrst</t>
    <phoneticPr fontId="1"/>
  </si>
  <si>
    <t>rst</t>
    <phoneticPr fontId="1"/>
  </si>
  <si>
    <t>sad</t>
    <phoneticPr fontId="1"/>
  </si>
  <si>
    <t>irq</t>
    <phoneticPr fontId="1"/>
  </si>
  <si>
    <t>irqo</t>
    <phoneticPr fontId="1"/>
  </si>
  <si>
    <t>irq[3:0]</t>
    <phoneticPr fontId="1"/>
  </si>
  <si>
    <t>irq[7:4]</t>
    <phoneticPr fontId="1"/>
  </si>
  <si>
    <t>1'b0</t>
    <phoneticPr fontId="1"/>
  </si>
  <si>
    <t>b</t>
    <phoneticPr fontId="1"/>
  </si>
  <si>
    <t>{a,b}</t>
    <phoneticPr fontId="1"/>
  </si>
  <si>
    <t>in_ctl</t>
    <phoneticPr fontId="1"/>
  </si>
  <si>
    <t>i_gg</t>
    <phoneticPr fontId="1"/>
  </si>
  <si>
    <t>m_gg</t>
    <phoneticPr fontId="1"/>
  </si>
  <si>
    <t>adrr</t>
    <phoneticPr fontId="1"/>
  </si>
  <si>
    <t>adr</t>
    <phoneticPr fontId="1"/>
  </si>
  <si>
    <t>addd</t>
    <phoneticPr fontId="1"/>
  </si>
  <si>
    <t>adr2</t>
    <phoneticPr fontId="1"/>
  </si>
  <si>
    <t>addd2</t>
    <phoneticPr fontId="1"/>
  </si>
  <si>
    <t>rst( &amp; kkk)</t>
    <phoneticPr fontId="1"/>
  </si>
  <si>
    <t>rst[9:0]</t>
    <phoneticPr fontId="1"/>
  </si>
  <si>
    <t>sad[9:4]</t>
    <phoneticPr fontId="1"/>
  </si>
  <si>
    <t>irqx[3:0](&amp; cs)</t>
    <phoneticPr fontId="1"/>
  </si>
  <si>
    <t>irqz[7:4]</t>
    <phoneticPr fontId="1"/>
  </si>
  <si>
    <t>#sub</t>
    <phoneticPr fontId="1"/>
  </si>
  <si>
    <t>enable_conv</t>
    <phoneticPr fontId="1"/>
  </si>
  <si>
    <t>4</t>
    <phoneticPr fontId="1"/>
  </si>
  <si>
    <t>#sparm</t>
    <phoneticPr fontId="1"/>
  </si>
  <si>
    <t>2</t>
    <phoneticPr fontId="1"/>
  </si>
  <si>
    <t>retcd</t>
    <phoneticPr fontId="1"/>
  </si>
  <si>
    <t>4'b1111</t>
    <phoneticPr fontId="1"/>
  </si>
  <si>
    <t>size == 2'b10</t>
    <phoneticPr fontId="1"/>
  </si>
  <si>
    <t>retcd = 4'b0000;</t>
    <phoneticPr fontId="1"/>
  </si>
  <si>
    <t>size == 2'b01</t>
    <phoneticPr fontId="1"/>
  </si>
  <si>
    <t>add[1:1] == 0</t>
    <phoneticPr fontId="1"/>
  </si>
  <si>
    <t>retcd = 4'b1100;</t>
    <phoneticPr fontId="1"/>
  </si>
  <si>
    <t>retcd = 4'b0011;</t>
    <phoneticPr fontId="1"/>
  </si>
  <si>
    <t>size == 2'b00</t>
    <phoneticPr fontId="1"/>
  </si>
  <si>
    <t>add[1:0] == 2'b00</t>
  </si>
  <si>
    <t>retcd = 4'b1110;</t>
  </si>
  <si>
    <t>add[1:0] == 2'b01</t>
  </si>
  <si>
    <t>retcd = 4'b1101;</t>
  </si>
  <si>
    <t>add[1:0] == 2'b10</t>
  </si>
  <si>
    <t>retcd = 4'b1011;</t>
  </si>
  <si>
    <t>add[1:0] == 2'b11</t>
  </si>
  <si>
    <t>retcd = 4'b0111;</t>
  </si>
  <si>
    <t xml:space="preserve">  </t>
  </si>
  <si>
    <t>enable_conv = retcd;</t>
    <phoneticPr fontId="1"/>
  </si>
  <si>
    <t>3'h1</t>
  </si>
  <si>
    <t>3'h2</t>
  </si>
  <si>
    <t>3'h3</t>
  </si>
  <si>
    <t>3'h4</t>
  </si>
  <si>
    <t>3'h5</t>
  </si>
  <si>
    <t>3'h6</t>
  </si>
  <si>
    <t>3'h7</t>
  </si>
  <si>
    <t>casex</t>
    <phoneticPr fontId="1"/>
  </si>
  <si>
    <t>assign a　=　b;</t>
    <phoneticPr fontId="1"/>
  </si>
  <si>
    <t>vdef</t>
    <phoneticPr fontId="1"/>
  </si>
  <si>
    <t>comment1</t>
    <phoneticPr fontId="1"/>
  </si>
  <si>
    <t>comment2</t>
  </si>
  <si>
    <t>comment3</t>
  </si>
  <si>
    <t>top.aclk</t>
    <phoneticPr fontId="1"/>
  </si>
  <si>
    <t>#pull</t>
    <phoneticPr fontId="1"/>
  </si>
  <si>
    <t>#elseif</t>
    <phoneticPr fontId="1"/>
  </si>
  <si>
    <t>assign aaa = ((cs0) ? dt0 : ((cs1) ? dt1 : ((cs2) ? dt2 : dt3 )));</t>
  </si>
  <si>
    <t>定義</t>
  </si>
  <si>
    <t>1. ヘッダ定義（#header）</t>
  </si>
  <si>
    <t>●説明</t>
    <phoneticPr fontId="1"/>
  </si>
  <si>
    <t>Verilog ファイルの先頭に記載するヘッダを指定する。</t>
  </si>
  <si>
    <t>●記述例</t>
    <phoneticPr fontId="1"/>
  </si>
  <si>
    <t>2. モジュール定義・IOポート定義</t>
  </si>
  <si>
    <t>モジュール名を定義する</t>
  </si>
  <si>
    <t>入出力ポートを定義する</t>
  </si>
  <si>
    <t>ポート定義では wire/reg を付けないため、必ず後で #wire または #reg を記述する</t>
  </si>
  <si>
    <t>3. パラメータ定義（#parameter）</t>
  </si>
  <si>
    <t>●基本ワイヤ定義（#wire）</t>
    <phoneticPr fontId="1"/>
  </si>
  <si>
    <t>パラメータ名</t>
    <rPh sb="5" eb="6">
      <t>メイ</t>
    </rPh>
    <phoneticPr fontId="1"/>
  </si>
  <si>
    <t>パラメータ値</t>
    <rPh sb="5" eb="6">
      <t>チ</t>
    </rPh>
    <phoneticPr fontId="1"/>
  </si>
  <si>
    <t>●条件式ワイヤ（#wire_o）</t>
    <phoneticPr fontId="1"/>
  </si>
  <si>
    <t>信号名</t>
    <rPh sb="0" eb="3">
      <t>シンゴウメイ</t>
    </rPh>
    <phoneticPr fontId="1"/>
  </si>
  <si>
    <t>式</t>
    <rPh sb="0" eb="1">
      <t>シキ</t>
    </rPh>
    <phoneticPr fontId="1"/>
  </si>
  <si>
    <t>条件式:値 の形式</t>
  </si>
  <si>
    <t>-:値 はデフォルト値</t>
  </si>
  <si>
    <t>以下のように変換される：</t>
  </si>
  <si>
    <t>式が記載されているときは以下のように変換される：</t>
    <rPh sb="0" eb="1">
      <t>シキ</t>
    </rPh>
    <rPh sb="2" eb="4">
      <t>キサイ</t>
    </rPh>
    <phoneticPr fontId="1"/>
  </si>
  <si>
    <t>assign eee = a | &amp;b | &amp;c;</t>
    <phoneticPr fontId="1"/>
  </si>
  <si>
    <t>5. レジスタ定義（#reg）</t>
  </si>
  <si>
    <t>条件:式</t>
    <rPh sb="0" eb="2">
      <t>ジョウケン</t>
    </rPh>
    <rPh sb="3" eb="4">
      <t>シキ</t>
    </rPh>
    <phoneticPr fontId="1"/>
  </si>
  <si>
    <t>条件:式</t>
    <rPh sb="3" eb="4">
      <t>シキ</t>
    </rPh>
    <phoneticPr fontId="1"/>
  </si>
  <si>
    <t>4. ワイヤ定義（#wire / #wire_o）</t>
    <phoneticPr fontId="1"/>
  </si>
  <si>
    <t>ワイヤ名</t>
    <rPh sb="3" eb="4">
      <t>メイ</t>
    </rPh>
    <phoneticPr fontId="1"/>
  </si>
  <si>
    <t>レジスタ名</t>
    <rPh sb="4" eb="5">
      <t>メイ</t>
    </rPh>
    <phoneticPr fontId="1"/>
  </si>
  <si>
    <t xml:space="preserve">@条件式:代入式  </t>
  </si>
  <si>
    <t>→ 条件式が真なら代入式をレジスタへ代入</t>
  </si>
  <si>
    <t>@ が付くと 非同期ラッチ</t>
  </si>
  <si>
    <t>@ が無いと 同期ラッチ</t>
  </si>
  <si>
    <t>条件式が無い場合は - を使用</t>
  </si>
  <si>
    <t>条件の優先順位は 左から右へ</t>
  </si>
  <si>
    <t>クロック名の頭に ~ を付けると 立ち下がりエッジ</t>
  </si>
  <si>
    <t>ビット数</t>
  </si>
  <si>
    <t>ビット数</t>
    <rPh sb="3" eb="4">
      <t>スウ</t>
    </rPh>
    <phoneticPr fontId="1"/>
  </si>
  <si>
    <t>メモリ指定はビット数に "32/16" のように記述</t>
    <phoneticPr fontId="1"/>
  </si>
  <si>
    <t>6. ワイヤ＋レジスタ定義（#wire_reg）</t>
  </si>
  <si>
    <t>レジスタ/ワイヤの切換え式</t>
    <rPh sb="9" eb="11">
      <t>キリカ</t>
    </rPh>
    <rPh sb="12" eb="13">
      <t>シキ</t>
    </rPh>
    <phoneticPr fontId="1"/>
  </si>
  <si>
    <t>レジスタ→ワイヤの定義の区切り</t>
    <rPh sb="9" eb="11">
      <t>テイギ</t>
    </rPh>
    <rPh sb="12" eb="14">
      <t>クギ</t>
    </rPh>
    <phoneticPr fontId="1"/>
  </si>
  <si>
    <t># の左側：レジスタ定義</t>
  </si>
  <si>
    <t># の右側：assign式</t>
  </si>
  <si>
    <t>レジスタ名は自動的に add_pp になる</t>
  </si>
  <si>
    <t>assign 時は add_pp ではなく add を使用する</t>
  </si>
  <si>
    <t>レジスタ/ワイヤの切換え式の@ の部分にレジスタの値が入る</t>
    <phoneticPr fontId="1"/>
  </si>
  <si>
    <t>7. tri0 / tri1 定義（#wire_attr）</t>
  </si>
  <si>
    <t>●変換結果</t>
    <rPh sb="3" eb="5">
      <t>ケッカ</t>
    </rPh>
    <phoneticPr fontId="1"/>
  </si>
  <si>
    <t>#wire：通常のワイヤ定義</t>
  </si>
  <si>
    <t>レジスタのビット幅、クロック、条件式、代入式を定義します。</t>
  </si>
  <si>
    <t>@条件式:値 → 条件が真なら代入</t>
  </si>
  <si>
    <t>@ あり → 非同期ラッチ</t>
  </si>
  <si>
    <t>@ なし → 同期ラッチ</t>
  </si>
  <si>
    <t>条件式の優先順位は左から右へ</t>
  </si>
  <si>
    <t>クロック名の頭に ~ を付けると立ち下がりエッジ</t>
  </si>
  <si>
    <t>7. tri0 / tri1（#wire_attr）</t>
  </si>
  <si>
    <t>ワイヤに tri0/tri1 属性を付与できます。</t>
  </si>
  <si>
    <t>8. まとめ</t>
    <phoneticPr fontId="1"/>
  </si>
  <si>
    <t>Verilog ファイルの先頭に挿入する情報を指定します。</t>
  </si>
  <si>
    <t>プロジェクト名、ファイル名、モジュール名、バージョン、作者などを記述できます。</t>
  </si>
  <si>
    <t>モジュール名と入出力ポートを宣言します。</t>
  </si>
  <si>
    <t>ポート宣言では wire/reg を付けないため、後続で必ず #wire または #reg を記述します。</t>
  </si>
  <si>
    <t>Verilog の parameter を定義します。</t>
  </si>
  <si>
    <t>ビット幅や初期値を指定できます。</t>
  </si>
  <si>
    <t>#wire_o：条件式による多段階選択（if/elseif）を生成</t>
  </si>
  <si>
    <t>条件式:値 の形式で記述し、- はデフォルト値になります。</t>
  </si>
  <si>
    <t>レジスタと assign を一体化した複合定義です。</t>
  </si>
  <si>
    <t># の左側がレジスタ、右側が assign 式になります。</t>
  </si>
  <si>
    <t>レジスタ名は自動的に _pp が付与されます。</t>
  </si>
  <si>
    <t>●ヘッダ（#header）</t>
    <phoneticPr fontId="1"/>
  </si>
  <si>
    <t>●モジュール名・IOポート（#module / #input / #output / #inout）</t>
    <phoneticPr fontId="1"/>
  </si>
  <si>
    <t>●パラメータ（#parameter）</t>
    <phoneticPr fontId="1"/>
  </si>
  <si>
    <t>●ワイヤ（#wire / #wire_o）</t>
    <phoneticPr fontId="1"/>
  </si>
  <si>
    <t>●レジスタ（#reg）</t>
    <phoneticPr fontId="1"/>
  </si>
  <si>
    <t>●ワイヤ＋レジスタ（#wire_reg）</t>
    <phoneticPr fontId="1"/>
  </si>
  <si>
    <t>出力</t>
  </si>
  <si>
    <t>出力</t>
    <phoneticPr fontId="1"/>
  </si>
  <si>
    <t>区切り</t>
  </si>
  <si>
    <t>区切り</t>
    <phoneticPr fontId="1"/>
  </si>
  <si>
    <t>入力</t>
  </si>
  <si>
    <t>イネーブル</t>
  </si>
  <si>
    <t>入出力</t>
  </si>
  <si>
    <t>モジュール名</t>
    <rPh sb="5" eb="6">
      <t>メイ</t>
    </rPh>
    <phoneticPr fontId="1"/>
  </si>
  <si>
    <t>on1ポート</t>
    <phoneticPr fontId="1"/>
  </si>
  <si>
    <t>tポート</t>
    <phoneticPr fontId="1"/>
  </si>
  <si>
    <t>oポート</t>
    <phoneticPr fontId="1"/>
  </si>
  <si>
    <t>eポート</t>
    <phoneticPr fontId="1"/>
  </si>
  <si>
    <t>obポート</t>
    <phoneticPr fontId="1"/>
  </si>
  <si>
    <t>1．構造部品の定義（#gate）</t>
  </si>
  <si>
    <t>構造記述</t>
    <rPh sb="0" eb="4">
      <t>コウゾウキジュツ</t>
    </rPh>
    <phoneticPr fontId="1"/>
  </si>
  <si>
    <t>構造記述では、モジュールの入出力ポート構造を表形式で定義します。</t>
  </si>
  <si>
    <t>#gate は「構造部品（ゲート）」のポート構成を宣言します。</t>
  </si>
  <si>
    <t>●書式</t>
    <phoneticPr fontId="1"/>
  </si>
  <si>
    <t>…</t>
  </si>
  <si>
    <t>…</t>
    <phoneticPr fontId="1"/>
  </si>
  <si>
    <t>入力</t>
    <phoneticPr fontId="1"/>
  </si>
  <si>
    <t>イネーブル</t>
    <phoneticPr fontId="1"/>
  </si>
  <si>
    <t>入出力</t>
    <phoneticPr fontId="1"/>
  </si>
  <si>
    <t>※区切りは # を使用します。</t>
    <phoneticPr fontId="1"/>
  </si>
  <si>
    <t>2．構造部品を使ったネット接続（#net）</t>
  </si>
  <si>
    <t>#net は、定義済みの構造部品（#gate）を使って 実際の信号接続を記述します。</t>
  </si>
  <si>
    <t>3．インスタンス名を指定したい場合（#gate_inst）</t>
  </si>
  <si>
    <t>インスタンス名を特定の名前にするためのコマンドが用意されています。</t>
    <phoneticPr fontId="1"/>
  </si>
  <si>
    <t>4. まとめ</t>
    <phoneticPr fontId="1"/>
  </si>
  <si>
    <t>構造部品（ゲート）のポート構成を宣言（#gate）</t>
  </si>
  <si>
    <t>宣言した構造部品を使って信号接続を記述（#net）</t>
  </si>
  <si>
    <t>インスタンス名指定（#gate_inst）</t>
    <phoneticPr fontId="1"/>
  </si>
  <si>
    <t>接続リスト</t>
  </si>
  <si>
    <t>接続リスト</t>
    <phoneticPr fontId="1"/>
  </si>
  <si>
    <t>// # m_aa(i_abc) ###############</t>
  </si>
  <si>
    <t xml:space="preserve">  m_aa i_abc(  // _CELL:</t>
  </si>
  <si>
    <t xml:space="preserve">     .irqx(irq[3:0]&amp; cs)  // _CELL:[D8]</t>
  </si>
  <si>
    <t xml:space="preserve">    ,.rst(zrst &amp; kkk)  // _CELL:[D6]</t>
  </si>
  <si>
    <t xml:space="preserve">    ,.sad(hnet0[9:4])  // _CELL:[D7]</t>
  </si>
  <si>
    <t xml:space="preserve">  );</t>
  </si>
  <si>
    <t>// # m_aa(i_eee) ###############</t>
  </si>
  <si>
    <t xml:space="preserve">  m_aa i_eee(  // _CELL:</t>
  </si>
  <si>
    <t xml:space="preserve">     .irqz(irq[7:4])  // _CELL:[E8]</t>
  </si>
  <si>
    <t xml:space="preserve">    ,.rst(zrst[9:0])  // _CELL:[E6]</t>
  </si>
  <si>
    <t xml:space="preserve">    ,.sad(hnet0)  // _CELL:[E7]</t>
  </si>
  <si>
    <t>モジュール間接続</t>
  </si>
  <si>
    <t>1．モジュール間接続の基本（#con_head / #con_mod / #con）</t>
  </si>
  <si>
    <t>Excelの行構造を使って、複雑な接続を安全に記述できます。</t>
  </si>
  <si>
    <t>モジュール間接続は、複数モジュールのポートを 表形式で接続するための仕組みです。</t>
  </si>
  <si>
    <t>●基本構造</t>
    <phoneticPr fontId="1"/>
  </si>
  <si>
    <t>外部信号定義</t>
  </si>
  <si>
    <t>信号定義</t>
  </si>
  <si>
    <t>インスタンス名1</t>
    <phoneticPr fontId="1"/>
  </si>
  <si>
    <t>インスタンス名2</t>
  </si>
  <si>
    <t>インスタンス名3</t>
  </si>
  <si>
    <t>モジュール名1</t>
    <phoneticPr fontId="1"/>
  </si>
  <si>
    <t>モジュール名2</t>
  </si>
  <si>
    <t>モジュール名3</t>
  </si>
  <si>
    <t>●各列の意味</t>
    <phoneticPr fontId="1"/>
  </si>
  <si>
    <t>列</t>
  </si>
  <si>
    <t>意味</t>
  </si>
  <si>
    <t>wire 宣言時のビット幅。空白なら wire 宣言しない。</t>
  </si>
  <si>
    <t>各インスタンスのポート名。縦方向がインスタンス。</t>
  </si>
  <si>
    <t>外部信号・信号定義・インスタンス名のカラム位置を定義。</t>
  </si>
  <si>
    <t>モジュール名のカラム位置を定義。</t>
  </si>
  <si>
    <t>実際の接続を定義。</t>
  </si>
  <si>
    <t>接続される信号名。空白なら信号名が自動生成される。信号名以外に式や値を書くことも可能。</t>
    <rPh sb="13" eb="16">
      <t>シンゴウメイ</t>
    </rPh>
    <rPh sb="25" eb="28">
      <t>シンゴウメイ</t>
    </rPh>
    <rPh sb="28" eb="30">
      <t>イガイ</t>
    </rPh>
    <rPh sb="31" eb="32">
      <t>シキ</t>
    </rPh>
    <rPh sb="33" eb="34">
      <t>アタイ</t>
    </rPh>
    <rPh sb="35" eb="36">
      <t>カ</t>
    </rPh>
    <rPh sb="40" eb="42">
      <t>カノウ</t>
    </rPh>
    <phoneticPr fontId="1"/>
  </si>
  <si>
    <t>2．モジュール間接続の合成（マージ）</t>
  </si>
  <si>
    <t>複数の接続表がある場合、</t>
  </si>
  <si>
    <t>同じインスタンス名の列が自動的にマージされます。</t>
  </si>
  <si>
    <t>接続表①</t>
    <phoneticPr fontId="1"/>
  </si>
  <si>
    <t>接続表➁</t>
    <phoneticPr fontId="1"/>
  </si>
  <si>
    <t>●マージされる内容</t>
    <phoneticPr fontId="1"/>
  </si>
  <si>
    <t>i_abc の列が両方に存在するため、自動的に統合される</t>
  </si>
  <si>
    <t>i_eee / i_fff / i_gg はそれぞれ独立して保持される</t>
  </si>
  <si>
    <t>結果として、複数の接続表を一つの大きな接続表として扱える</t>
  </si>
  <si>
    <t>3．信号のインデックス付与と信号付加</t>
  </si>
  <si>
    <t>接続したいポートの幅と信号の幅が異なる場合、</t>
  </si>
  <si>
    <t>インデックス（[x:y]） を付けたり、</t>
  </si>
  <si>
    <t>信号を付加（(&amp; cs)） することができます。</t>
  </si>
  <si>
    <t>●インデックス・付加の意味</t>
    <phoneticPr fontId="1"/>
  </si>
  <si>
    <t>記述</t>
  </si>
  <si>
    <t>rst[9:0]</t>
  </si>
  <si>
    <t>rst の下位 10bit を接続</t>
  </si>
  <si>
    <t>sad[9:4]</t>
  </si>
  <si>
    <t>sad の 9〜4bit を接続</t>
  </si>
  <si>
    <t>irqx[3:0](&amp; cs)</t>
  </si>
  <si>
    <t>irqx の下位4bitに cs を AND して接続</t>
  </si>
  <si>
    <t>rst( &amp; kkk)</t>
  </si>
  <si>
    <t>rst と kkk を AND して接続</t>
  </si>
  <si>
    <t>●変換結果</t>
    <phoneticPr fontId="1"/>
  </si>
  <si>
    <t>モジュールのインスタンス名を一覧化（#con_head）</t>
  </si>
  <si>
    <t>モジュール名を一覧化（#con_mod）</t>
  </si>
  <si>
    <t>信号接続を行単位で記述（#con）</t>
  </si>
  <si>
    <t>複数の接続表を自動マージ</t>
  </si>
  <si>
    <t>信号のインデックス指定（[x:y]）</t>
  </si>
  <si>
    <t>信号の付加（(&amp; cs)）</t>
  </si>
  <si>
    <t>Verilog の .port(signal) を自動生成</t>
  </si>
  <si>
    <t>入力信号</t>
    <rPh sb="2" eb="4">
      <t>シンゴウ</t>
    </rPh>
    <phoneticPr fontId="1"/>
  </si>
  <si>
    <t>タスク、関数</t>
  </si>
  <si>
    <t>1．タスク／関数の定義（#sub / #sparm / #slocal / #cmd）</t>
  </si>
  <si>
    <t>タスク／関数を Excel の行構造で記述し、Verilog の task/function を自動生成できます。</t>
  </si>
  <si>
    <t>●基本例</t>
    <phoneticPr fontId="1"/>
  </si>
  <si>
    <t>● 関数／タスクの指定</t>
  </si>
  <si>
    <t>戻り値を省略すると task になる</t>
  </si>
  <si>
    <t>戻り値を指定すると function になる</t>
  </si>
  <si>
    <t>関数名</t>
    <phoneticPr fontId="1"/>
  </si>
  <si>
    <t>戻り値</t>
    <phoneticPr fontId="1"/>
  </si>
  <si>
    <t>ビット数</t>
    <phoneticPr fontId="1"/>
  </si>
  <si>
    <t>● 引数の指定（#sparm）</t>
  </si>
  <si>
    <t>引数名</t>
    <rPh sb="0" eb="3">
      <t>ヒキスウメイ</t>
    </rPh>
    <phoneticPr fontId="1"/>
  </si>
  <si>
    <t>● ローカル変数（#slocal）</t>
  </si>
  <si>
    <t>変数名</t>
    <rPh sb="0" eb="3">
      <t>ヘンスウメイ</t>
    </rPh>
    <phoneticPr fontId="1"/>
  </si>
  <si>
    <t>● コマンド（#cmd）</t>
  </si>
  <si>
    <t>Verilog の文</t>
    <phoneticPr fontId="1"/>
  </si>
  <si>
    <t>2．条件分岐（#if / #else / #endif / #xelse）</t>
  </si>
  <si>
    <t xml:space="preserve">  ～処理～</t>
  </si>
  <si>
    <t>●基本形態</t>
    <phoneticPr fontId="1"/>
  </si>
  <si>
    <t>式</t>
    <phoneticPr fontId="1"/>
  </si>
  <si>
    <t>●else が不要な場合</t>
    <phoneticPr fontId="1"/>
  </si>
  <si>
    <t>●一行条件分岐</t>
    <phoneticPr fontId="1"/>
  </si>
  <si>
    <t>↓下記のように認識される。</t>
    <rPh sb="1" eb="3">
      <t>カキ</t>
    </rPh>
    <rPh sb="7" eb="9">
      <t>ニンシキ</t>
    </rPh>
    <phoneticPr fontId="1"/>
  </si>
  <si>
    <t>文A</t>
    <rPh sb="0" eb="1">
      <t>ブン</t>
    </rPh>
    <phoneticPr fontId="1"/>
  </si>
  <si>
    <t>文B</t>
    <rPh sb="0" eb="1">
      <t>ブン</t>
    </rPh>
    <phoneticPr fontId="1"/>
  </si>
  <si>
    <t>3．関数テーブル（#function / #ftable）</t>
  </si>
  <si>
    <t>入力 → 出力の対応表を Excel の行で記述し、Verilog の case 文を自動生成します。</t>
  </si>
  <si>
    <t>f</t>
  </si>
  <si>
    <t>st[2:0]</t>
  </si>
  <si>
    <t>:</t>
  </si>
  <si>
    <t>ld</t>
  </si>
  <si>
    <t>dt</t>
  </si>
  <si>
    <t>1'b1</t>
  </si>
  <si>
    <t>3'h0</t>
  </si>
  <si>
    <t>1'b0</t>
  </si>
  <si>
    <t>default</t>
  </si>
  <si>
    <t>3'bxxx</t>
  </si>
  <si>
    <t>1'bx</t>
  </si>
  <si>
    <t>4．casex / casez を使いたい場合（#function_case）</t>
  </si>
  <si>
    <t>casez</t>
  </si>
  <si>
    <t>st2[2:0]</t>
  </si>
  <si>
    <t>ld2</t>
  </si>
  <si>
    <t>dt2</t>
  </si>
  <si>
    <t>……</t>
    <phoneticPr fontId="1"/>
  </si>
  <si>
    <t>casex</t>
  </si>
  <si>
    <t>synopsys parallel_case</t>
  </si>
  <si>
    <t>5．論理合成ディレクティブ（#function_direct）</t>
    <phoneticPr fontId="1"/>
  </si>
  <si>
    <t>6．まとめ</t>
    <phoneticPr fontId="1"/>
  </si>
  <si>
    <t>Verilog の task/function を Excelで記述できる</t>
  </si>
  <si>
    <t>引数（#sparm）、ローカル変数（#slocal）を表形式で管理</t>
  </si>
  <si>
    <t>条件分岐（#if / #xelse）を Excel行で安全に記述</t>
  </si>
  <si>
    <t>関数テーブル（#function / #ftable）で case 文を自動生成</t>
  </si>
  <si>
    <t>casex / casez / 合成ディレクティブも指定可能</t>
  </si>
  <si>
    <t>Verilog直書き</t>
  </si>
  <si>
    <t>#wr は Verilogコードをそのまま出力するためのコマンドです。</t>
  </si>
  <si>
    <t>モジュール内部に直接 Verilog を書きたい場合に使用します。</t>
  </si>
  <si>
    <t>1．単純直書き（#wr）</t>
  </si>
  <si>
    <t>2．モジュール外への直書き（#body）</t>
  </si>
  <si>
    <t>#body は モジュール外に Verilog を出力するためのコマンドです。</t>
  </si>
  <si>
    <t>include や define など、モジュール外に書く必要がある記述に使用します。</t>
  </si>
  <si>
    <t>`include "time.v"</t>
  </si>
  <si>
    <t>`define aaa 900</t>
  </si>
  <si>
    <t>`define bbb 2000</t>
  </si>
  <si>
    <t>3．カラム制御（#sp0 / #sp+ / #sp-）</t>
  </si>
  <si>
    <t>Verilog出力時の インデント（カラム位置）を制御します。</t>
  </si>
  <si>
    <t>カラム位置を +2 する</t>
  </si>
  <si>
    <t>カラム位置を -2 する</t>
  </si>
  <si>
    <t>●初期値</t>
    <phoneticPr fontId="1"/>
  </si>
  <si>
    <t>初期カラム位置は 2カラム目 に設定されています。</t>
  </si>
  <si>
    <t>%st</t>
  </si>
  <si>
    <t>vdef</t>
  </si>
  <si>
    <t>name</t>
  </si>
  <si>
    <t>size</t>
  </si>
  <si>
    <t>comment</t>
  </si>
  <si>
    <t>reg[$size$-1:0] $name$;  // $comment$</t>
  </si>
  <si>
    <t>●CSVPPのマクロ定義</t>
    <phoneticPr fontId="1"/>
  </si>
  <si>
    <t>●使用例</t>
  </si>
  <si>
    <t>●使用例</t>
    <phoneticPr fontId="1"/>
  </si>
  <si>
    <t>reg[32-1:0] data;  // comment1</t>
  </si>
  <si>
    <t>reg[1-1:0]  aaa;   // comment2</t>
  </si>
  <si>
    <t>reg[2-1:0]  bbb;   // comment3</t>
  </si>
  <si>
    <t>4．クラスマクロを使った reg / wire 宣言</t>
    <phoneticPr fontId="1"/>
  </si>
  <si>
    <t>5．まとめ</t>
    <phoneticPr fontId="1"/>
  </si>
  <si>
    <t>Verilogコードをそのまま出力（#wr）</t>
  </si>
  <si>
    <t>モジュール外への出力（#body）</t>
  </si>
  <si>
    <t>インデント制御（#sp0 / #sp+ / #sp-）</t>
  </si>
  <si>
    <t>CSVPP のクラス機能を使った reg / wire 宣言の自動生成</t>
  </si>
  <si>
    <t>#clk</t>
    <phoneticPr fontId="1"/>
  </si>
  <si>
    <t>テストベンチ用クロック生成を自動化する</t>
    <phoneticPr fontId="1"/>
  </si>
  <si>
    <t>●テストベンチ用クロック生成指定</t>
    <rPh sb="12" eb="14">
      <t>セイセイ</t>
    </rPh>
    <rPh sb="14" eb="16">
      <t>シテイ</t>
    </rPh>
    <phoneticPr fontId="1"/>
  </si>
  <si>
    <t>■ 初期値 0 の場合の波形</t>
  </si>
  <si>
    <t>クロックの初期値が 0（LOW） の場合、波形は以下のように動作します。</t>
  </si>
  <si>
    <t>クロックは LOW からスタートする</t>
  </si>
  <si>
    <t>指定した 変化位置1 のタイミングで HIGH に立ち上がる</t>
  </si>
  <si>
    <t>指定した 変化位置2 のタイミングで LOW に戻る</t>
  </si>
  <si>
    <t>これを 周期（Period） に従って繰り返す</t>
  </si>
  <si>
    <t>図中の「位相」は、初期値から最初の立ち上がりまでの区間を示し、 「立上がり時間」は LOW → HIGH へ変化する位置を示します。</t>
    <phoneticPr fontId="1"/>
  </si>
  <si>
    <t>■ 初期値 1 の場合の波形</t>
  </si>
  <si>
    <t>クロックの初期値が 1（HIGH） の場合、波形は以下のように動作します。</t>
  </si>
  <si>
    <t>クロックは HIGH からスタートする</t>
  </si>
  <si>
    <t>指定した 変化位置1 のタイミングで LOW に立ち下がる</t>
  </si>
  <si>
    <t>指定した 変化位置2 のタイミングで HIGH に戻る</t>
  </si>
  <si>
    <t>図中の「位相」は、初期値から最初の立ち下がりまでの区間を示し、 「立下がり時間」は HIGH → LOW へ変化する位置を示します。</t>
  </si>
  <si>
    <t>1.クロックの指定</t>
    <rPh sb="7" eb="9">
      <t>シテイ</t>
    </rPh>
    <phoneticPr fontId="1"/>
  </si>
  <si>
    <t>2.クロックのスタック機能</t>
    <phoneticPr fontId="1"/>
  </si>
  <si>
    <t>クロック名が aclk の場合、以下の信号が自動生成されます：</t>
  </si>
  <si>
    <t>これらは クロックの強制制御に使用します。</t>
  </si>
  <si>
    <t xml:space="preserve">  LSTK_aclk</t>
    <phoneticPr fontId="1"/>
  </si>
  <si>
    <t xml:space="preserve">  HSTK_aclk</t>
    <phoneticPr fontId="1"/>
  </si>
  <si>
    <t>●動作仕様</t>
    <phoneticPr fontId="1"/>
  </si>
  <si>
    <t>信号</t>
  </si>
  <si>
    <t>動作</t>
  </si>
  <si>
    <t>LSTK_クロック名</t>
    <phoneticPr fontId="1"/>
  </si>
  <si>
    <t>HSTK_クロック名</t>
    <phoneticPr fontId="1"/>
  </si>
  <si>
    <t>0:固定しない、1:クロックを LOW に固定(スタック)</t>
    <rPh sb="2" eb="4">
      <t>コテイ</t>
    </rPh>
    <phoneticPr fontId="1"/>
  </si>
  <si>
    <t>0:固定しない、1:クロックを HIGH に固定(スタック)</t>
    <rPh sb="2" eb="4">
      <t>コテイ</t>
    </rPh>
    <phoneticPr fontId="1"/>
  </si>
  <si>
    <t>3.まとめ</t>
    <phoneticPr fontId="1"/>
  </si>
  <si>
    <t>クロック波形を自動生成（周期・立上がり・立下がり位置を指定）</t>
  </si>
  <si>
    <t>初期値（0/1）を指定して波形開始位置を制御</t>
  </si>
  <si>
    <t>クロックの強制制御（スタック機能）を利用可能</t>
  </si>
  <si>
    <t>クロック名に応じて LSTK_xxx / HSTK_xxx を自動生成</t>
  </si>
  <si>
    <t xml:space="preserve">    if (rst) begin</t>
  </si>
  <si>
    <t xml:space="preserve">    end</t>
  </si>
  <si>
    <t xml:space="preserve">  end</t>
  </si>
  <si>
    <t>ステートマシン(RTL)</t>
  </si>
  <si>
    <t>rst</t>
  </si>
  <si>
    <t>1</t>
  </si>
  <si>
    <t>pp</t>
  </si>
  <si>
    <t>@rst:1'b0</t>
  </si>
  <si>
    <t>-:1'b0</t>
  </si>
  <si>
    <t>so</t>
  </si>
  <si>
    <t>oe</t>
  </si>
  <si>
    <t>aa</t>
  </si>
  <si>
    <t>32</t>
  </si>
  <si>
    <t>@rst:32'h0</t>
  </si>
  <si>
    <t>out</t>
  </si>
  <si>
    <t>dd</t>
  </si>
  <si>
    <t>aaa</t>
  </si>
  <si>
    <t>@rst</t>
  </si>
  <si>
    <t>idle</t>
  </si>
  <si>
    <t>ans &amp; rdy</t>
  </si>
  <si>
    <t>(cmd  == ABC) || (cmd == DEF)</t>
  </si>
  <si>
    <t>wr == 1'b0</t>
  </si>
  <si>
    <t>oe = 1'b0</t>
  </si>
  <si>
    <t>oe = 1'b1</t>
  </si>
  <si>
    <t>0:1'b1</t>
  </si>
  <si>
    <t>2:1'b0</t>
  </si>
  <si>
    <t>0:aa = ai;</t>
  </si>
  <si>
    <t>3:aa = 32'h0;</t>
  </si>
  <si>
    <t>wait</t>
  </si>
  <si>
    <t>oe = 1'b0;</t>
  </si>
  <si>
    <t>ans</t>
  </si>
  <si>
    <t>rec_i</t>
  </si>
  <si>
    <t>0:di</t>
  </si>
  <si>
    <t>1:'h320</t>
  </si>
  <si>
    <t>pp = 1'b1;</t>
  </si>
  <si>
    <t>2．ステートマシンの基本構造</t>
  </si>
  <si>
    <t>ステートマシンは以下の 3 要素で構成されます：</t>
  </si>
  <si>
    <t>要素</t>
  </si>
  <si>
    <t>ステートマシン本体</t>
  </si>
  <si>
    <t>ステートマシン名、動作クロック、リセットを定義</t>
  </si>
  <si>
    <t>状態（ステート）</t>
  </si>
  <si>
    <t>状態名を定義。内部的には ステート名_FF が生成される</t>
  </si>
  <si>
    <t>次の状態へ遷移する</t>
  </si>
  <si>
    <t>●#rstatus</t>
    <phoneticPr fontId="1"/>
  </si>
  <si>
    <t>リセット：rst</t>
  </si>
  <si>
    <t>@rst → 非同期リセット</t>
  </si>
  <si>
    <t>リセットは複数指定可能</t>
  </si>
  <si>
    <t>rst→同期リセット</t>
    <rPh sb="4" eb="6">
      <t>ドウキ</t>
    </rPh>
    <phoneticPr fontId="1"/>
  </si>
  <si>
    <t>●例</t>
    <rPh sb="1" eb="2">
      <t>レイ</t>
    </rPh>
    <phoneticPr fontId="1"/>
  </si>
  <si>
    <t>ステートマシン名：aaa</t>
    <phoneticPr fontId="1"/>
  </si>
  <si>
    <t>ステートマシン名</t>
  </si>
  <si>
    <t>動作クロック：clk</t>
    <phoneticPr fontId="1"/>
  </si>
  <si>
    <t>動作クロック</t>
  </si>
  <si>
    <t>~clk→立下りエッジ</t>
    <rPh sb="5" eb="7">
      <t>タチサガ</t>
    </rPh>
    <phoneticPr fontId="1"/>
  </si>
  <si>
    <t>●#st</t>
    <phoneticPr fontId="1"/>
  </si>
  <si>
    <t>状態名 idle</t>
  </si>
  <si>
    <t>内部的には aaa_idle という FF が生成される</t>
  </si>
  <si>
    <t>最初に書いた状態が リセット時の状態 になる</t>
  </si>
  <si>
    <t>状態名</t>
    <rPh sb="0" eb="3">
      <t>ジョウタイメイ</t>
    </rPh>
    <phoneticPr fontId="1"/>
  </si>
  <si>
    <t>●#go</t>
    <phoneticPr fontId="1"/>
  </si>
  <si>
    <t>状態 wait に遷移する</t>
    <phoneticPr fontId="1"/>
  </si>
  <si>
    <t>4．スケジュールコマンド（#chg）</t>
    <phoneticPr fontId="1"/>
  </si>
  <si>
    <t>#以外に#go,#chg,#cmdが使用できる。</t>
    <rPh sb="1" eb="3">
      <t>イガイ</t>
    </rPh>
    <rPh sb="18" eb="20">
      <t>シヨウ</t>
    </rPh>
    <phoneticPr fontId="1"/>
  </si>
  <si>
    <t>レジスタ名</t>
  </si>
  <si>
    <t>サイクル数:右辺</t>
  </si>
  <si>
    <t>条件が成立した時点から 指定サイクル後 に右辺の値を代入する</t>
  </si>
  <si>
    <t xml:space="preserve">→ 条件成立直後に dd = di  </t>
  </si>
  <si>
    <t>→ 1サイクル後に dd = 'h320</t>
  </si>
  <si>
    <t>5．#pull（条件抜き出し）</t>
    <phoneticPr fontId="1"/>
  </si>
  <si>
    <t>現在の条件式をワイヤにアサインする</t>
  </si>
  <si>
    <t>例：out = (現在の条件式);</t>
  </si>
  <si>
    <t>6．ステートマシンの Verilog 変換例</t>
    <phoneticPr fontId="1"/>
  </si>
  <si>
    <t>1．ステートマシンサンプル</t>
    <phoneticPr fontId="1"/>
  </si>
  <si>
    <t>"1．ステートマシンサンプル"を以下のような Verilog に変換します：</t>
    <phoneticPr fontId="1"/>
  </si>
  <si>
    <t>always @(posedge clk or posedge rst) begin</t>
  </si>
  <si>
    <t xml:space="preserve">        pp &lt;= 1'b0;</t>
  </si>
  <si>
    <t xml:space="preserve">    else if (aaa_idle) begin</t>
  </si>
  <si>
    <t xml:space="preserve">        if (ans &amp; rdy) begin</t>
  </si>
  <si>
    <t xml:space="preserve">            ...</t>
  </si>
  <si>
    <t xml:space="preserve">        end</t>
  </si>
  <si>
    <t>end</t>
  </si>
  <si>
    <t>aaa_idle のような状態 FF が自動生成される</t>
  </si>
  <si>
    <t>条件分岐は if/else に変換される</t>
  </si>
  <si>
    <t>#chg はスケジュール配列を使った遅延代入に変換される</t>
  </si>
  <si>
    <t>#pull は assign 文に変換される</t>
  </si>
  <si>
    <t>ステートマシンの状態定義（#st）</t>
  </si>
  <si>
    <t>状態遷移（#go）</t>
  </si>
  <si>
    <t>条件分岐（#if / #elseif / #else / #endif）</t>
  </si>
  <si>
    <t>一行条件分岐（#cmd / #chg / #go / #xelse）</t>
  </si>
  <si>
    <t>スケジュールコマンドによる遅延代入（#chg）</t>
  </si>
  <si>
    <t>条件抜き出し（#pull）</t>
  </si>
  <si>
    <t>レジスタ・ワイヤの自動生成</t>
  </si>
  <si>
    <t>7．まとめ</t>
    <phoneticPr fontId="1"/>
  </si>
  <si>
    <t xml:space="preserve">  always @(posedge clk or negedge rstn) begin</t>
  </si>
  <si>
    <t xml:space="preserve">    if (~rstn) begin</t>
  </si>
  <si>
    <t xml:space="preserve">      dt_o &lt;= 32'h0; // _CELL:[B19]</t>
  </si>
  <si>
    <t xml:space="preserve">    else if (aaa_i11_p) begin</t>
  </si>
  <si>
    <t xml:space="preserve">      dt_o &lt;= {24'b0,dt0}; // _CELL:[H94]</t>
  </si>
  <si>
    <t xml:space="preserve">    else if (aaa_i12_p) begin</t>
  </si>
  <si>
    <t xml:space="preserve">      dt_o &lt;= {28'b0,dt1}; // _CELL:[H97]</t>
  </si>
  <si>
    <t xml:space="preserve">    else if (aaa_i13_p) begin</t>
  </si>
  <si>
    <t xml:space="preserve">      dt_o &lt;= {24'b0,dt2}; // _CELL:[H102]</t>
  </si>
  <si>
    <t xml:space="preserve">    else if (aaa_i14_p) begin</t>
  </si>
  <si>
    <t xml:space="preserve">      dt_o &lt;= {28'b0,dt3}; // _CELL:[H105]</t>
  </si>
  <si>
    <t xml:space="preserve">    else if (aaa_i18_p) begin</t>
  </si>
  <si>
    <t xml:space="preserve">      dt_o &lt;= 32'h0; // _CELL:[F156]</t>
  </si>
  <si>
    <t xml:space="preserve">    else if (aaa_i27_p) begin</t>
  </si>
  <si>
    <t xml:space="preserve">      dt_o &lt;= 32'h0; // _CELL:[G159]</t>
  </si>
  <si>
    <t xml:space="preserve">      dt_o &lt;= 32'h0; // _CELL:[B397]</t>
  </si>
  <si>
    <t xml:space="preserve">      dt_o &lt;=  // _CELL:[H473]</t>
  </si>
  <si>
    <t>dmy</t>
    <phoneticPr fontId="1"/>
  </si>
  <si>
    <t>assign</t>
    <phoneticPr fontId="1"/>
  </si>
  <si>
    <t>aaa == 32'h800</t>
    <phoneticPr fontId="1"/>
  </si>
  <si>
    <t>bbb == 1'b0</t>
    <phoneticPr fontId="1"/>
  </si>
  <si>
    <t>s</t>
    <phoneticPr fontId="1"/>
  </si>
  <si>
    <t>#assign</t>
    <phoneticPr fontId="1"/>
  </si>
  <si>
    <t xml:space="preserve">add </t>
    <phoneticPr fontId="1"/>
  </si>
  <si>
    <t>bbb == 1'b1</t>
    <phoneticPr fontId="1"/>
  </si>
  <si>
    <t>fff &amp; bbb</t>
    <phoneticPr fontId="1"/>
  </si>
  <si>
    <t xml:space="preserve"> cs:data</t>
    <phoneticPr fontId="1"/>
  </si>
  <si>
    <t xml:space="preserve"> -:32'hffffffff</t>
    <phoneticPr fontId="1"/>
  </si>
  <si>
    <t>fff</t>
    <phoneticPr fontId="1"/>
  </si>
  <si>
    <t>kkk &amp; yyy</t>
    <phoneticPr fontId="1"/>
  </si>
  <si>
    <t>#delay</t>
    <phoneticPr fontId="1"/>
  </si>
  <si>
    <t>#20</t>
    <phoneticPr fontId="1"/>
  </si>
  <si>
    <t xml:space="preserve">  assign #20 fff = kkk &amp; yyy;</t>
    <phoneticPr fontId="1"/>
  </si>
  <si>
    <t>hi</t>
    <phoneticPr fontId="1"/>
  </si>
  <si>
    <t>add_out</t>
    <phoneticPr fontId="1"/>
  </si>
  <si>
    <t>as</t>
    <phoneticPr fontId="1"/>
  </si>
  <si>
    <t>act</t>
    <phoneticPr fontId="1"/>
  </si>
  <si>
    <t xml:space="preserve">  reg  [31:0] add_pp; // _CELL:[B2]</t>
  </si>
  <si>
    <t xml:space="preserve">  wire  [31:0] add; // _CELL:[B2][F23]</t>
  </si>
  <si>
    <t xml:space="preserve">  assign add = en ? add_pp : 32'hzzzzzzzz || (((hi)) ? (32'hffffffff) : 32'h0); // _CELL:[B2][F23]</t>
  </si>
  <si>
    <t>// # add_pp register ######</t>
  </si>
  <si>
    <t xml:space="preserve">  always @(posedge clk or negedge rst) begin</t>
  </si>
  <si>
    <t xml:space="preserve">    if (~rst) begin</t>
  </si>
  <si>
    <t xml:space="preserve">      add_pp &lt;= 32'h0; // _CELL:[B2]</t>
  </si>
  <si>
    <t xml:space="preserve">    else if (aaa0_p) begin</t>
  </si>
  <si>
    <t xml:space="preserve">      add_pp &lt;= 32'h200; // _CELL:[F19]</t>
  </si>
  <si>
    <t xml:space="preserve">    else if (aaa1_p) begin</t>
  </si>
  <si>
    <t xml:space="preserve">      add_pp &lt;= 32'h100; // _CELL:[F13]</t>
  </si>
  <si>
    <t>mem</t>
    <phoneticPr fontId="1"/>
  </si>
  <si>
    <t xml:space="preserve">    else if (en) begin</t>
  </si>
  <si>
    <t>add_in</t>
    <phoneticPr fontId="1"/>
  </si>
  <si>
    <t>add0</t>
    <phoneticPr fontId="1"/>
  </si>
  <si>
    <t>add1</t>
  </si>
  <si>
    <t>add2</t>
  </si>
  <si>
    <t>［タイムチャート］</t>
    <phoneticPr fontId="1"/>
  </si>
  <si>
    <t>dt1</t>
    <phoneticPr fontId="1"/>
  </si>
  <si>
    <t>dt3</t>
  </si>
  <si>
    <t>dt4</t>
  </si>
  <si>
    <t>add1</t>
    <phoneticPr fontId="1"/>
  </si>
  <si>
    <t>add2</t>
    <phoneticPr fontId="1"/>
  </si>
  <si>
    <t>ppp</t>
    <phoneticPr fontId="1"/>
  </si>
  <si>
    <t>$cs$</t>
    <phoneticPr fontId="1"/>
  </si>
  <si>
    <t>aclko</t>
    <phoneticPr fontId="1"/>
  </si>
  <si>
    <t>$ad$</t>
    <phoneticPr fontId="1"/>
  </si>
  <si>
    <t>@Pppp  &gt; 0</t>
    <phoneticPr fontId="1"/>
  </si>
  <si>
    <t>$mode$</t>
    <phoneticPr fontId="1"/>
  </si>
  <si>
    <t>0:@Pppp</t>
    <phoneticPr fontId="1"/>
  </si>
  <si>
    <t>aaa == 20</t>
    <phoneticPr fontId="1"/>
  </si>
  <si>
    <t>bbb = 0;</t>
    <phoneticPr fontId="1"/>
  </si>
  <si>
    <t>$mode$ == 1</t>
    <phoneticPr fontId="1"/>
  </si>
  <si>
    <t>0:1</t>
    <phoneticPr fontId="1"/>
  </si>
  <si>
    <t>$ack$ == 1'b0</t>
    <phoneticPr fontId="1"/>
  </si>
  <si>
    <t>@Lcnt == a_tim</t>
    <phoneticPr fontId="1"/>
  </si>
  <si>
    <t>*asrt</t>
    <phoneticPr fontId="1"/>
  </si>
  <si>
    <t>サイクルＮｏ</t>
    <phoneticPr fontId="1"/>
  </si>
  <si>
    <t>64'h0</t>
    <phoneticPr fontId="1"/>
  </si>
  <si>
    <t>64'hz</t>
    <phoneticPr fontId="1"/>
  </si>
  <si>
    <t>#endrtn</t>
    <phoneticPr fontId="1"/>
  </si>
  <si>
    <t>32'h9000</t>
    <phoneticPr fontId="1"/>
  </si>
  <si>
    <t>32'h1111</t>
    <phoneticPr fontId="1"/>
  </si>
  <si>
    <t>32'h9001</t>
  </si>
  <si>
    <t>32'h1112</t>
  </si>
  <si>
    <t>32'h9002</t>
  </si>
  <si>
    <t>32'h1113</t>
  </si>
  <si>
    <t>8/512</t>
    <phoneticPr fontId="1"/>
  </si>
  <si>
    <t>txo</t>
    <phoneticPr fontId="1"/>
  </si>
  <si>
    <t>#task</t>
    <phoneticPr fontId="1"/>
  </si>
  <si>
    <t>task_a</t>
    <phoneticPr fontId="1"/>
  </si>
  <si>
    <t>#tcmd</t>
    <phoneticPr fontId="1"/>
  </si>
  <si>
    <t>txo = mem[task_a_tcnt];</t>
    <phoneticPr fontId="1"/>
  </si>
  <si>
    <t>task_a_tcnt</t>
    <phoneticPr fontId="1"/>
  </si>
  <si>
    <t>mem[0]</t>
    <phoneticPr fontId="1"/>
  </si>
  <si>
    <t>mem[1]</t>
  </si>
  <si>
    <t>mem[2]</t>
  </si>
  <si>
    <t>mem[3]</t>
  </si>
  <si>
    <t>mem[4]</t>
  </si>
  <si>
    <t>mem[5]</t>
  </si>
  <si>
    <t>mem[511]</t>
    <phoneticPr fontId="1"/>
  </si>
  <si>
    <t>intial begin</t>
    <phoneticPr fontId="1"/>
  </si>
  <si>
    <t>#100</t>
    <phoneticPr fontId="1"/>
  </si>
  <si>
    <t>task_a_start;</t>
    <phoneticPr fontId="1"/>
  </si>
  <si>
    <t>#10000</t>
    <phoneticPr fontId="1"/>
  </si>
  <si>
    <t>task_a_stop;</t>
    <phoneticPr fontId="1"/>
  </si>
  <si>
    <t>4/512</t>
    <phoneticPr fontId="1"/>
  </si>
  <si>
    <t>txo = mem[task_a_ccnt][4-task_a_tcnt-1];</t>
    <phoneticPr fontId="1"/>
  </si>
  <si>
    <t>task_a_ccnt</t>
    <phoneticPr fontId="1"/>
  </si>
  <si>
    <t>mem[0][3]</t>
    <phoneticPr fontId="1"/>
  </si>
  <si>
    <t>mem[0][2]</t>
    <phoneticPr fontId="1"/>
  </si>
  <si>
    <t>mem[0][1]</t>
    <phoneticPr fontId="1"/>
  </si>
  <si>
    <t>mem[0][0]</t>
    <phoneticPr fontId="1"/>
  </si>
  <si>
    <t>mem[1][3]</t>
    <phoneticPr fontId="1"/>
  </si>
  <si>
    <t>mem[1][2]</t>
    <phoneticPr fontId="1"/>
  </si>
  <si>
    <t>mem[511][1]</t>
    <phoneticPr fontId="1"/>
  </si>
  <si>
    <t>mem[511][0]</t>
    <phoneticPr fontId="1"/>
  </si>
  <si>
    <t>32'hffff</t>
    <phoneticPr fontId="1"/>
  </si>
  <si>
    <t>#tparm</t>
    <phoneticPr fontId="1"/>
  </si>
  <si>
    <t>p0</t>
    <phoneticPr fontId="1"/>
  </si>
  <si>
    <t>p1</t>
    <phoneticPr fontId="1"/>
  </si>
  <si>
    <t>#tlocal</t>
    <phoneticPr fontId="1"/>
  </si>
  <si>
    <t>l0</t>
    <phoneticPr fontId="1"/>
  </si>
  <si>
    <t>16'h0</t>
    <phoneticPr fontId="1"/>
  </si>
  <si>
    <t>l1</t>
  </si>
  <si>
    <t>@Ll0 = @Ll0 + @Pp1;</t>
    <phoneticPr fontId="1"/>
  </si>
  <si>
    <t>if (task_a_tcnt == @Pp0) @Ll1 = @Ll1 + @Pp1;</t>
    <phoneticPr fontId="1"/>
  </si>
  <si>
    <t>task_a_start(32'haa,16'h10);</t>
    <phoneticPr fontId="1"/>
  </si>
  <si>
    <t>#parm</t>
    <phoneticPr fontId="1"/>
  </si>
  <si>
    <t>tcnt</t>
    <phoneticPr fontId="1"/>
  </si>
  <si>
    <t>wcnt</t>
    <phoneticPr fontId="1"/>
  </si>
  <si>
    <t>ccnt</t>
    <phoneticPr fontId="1"/>
  </si>
  <si>
    <t>task_a_start(4,1,512);</t>
    <phoneticPr fontId="1"/>
  </si>
  <si>
    <t>frame</t>
    <phoneticPr fontId="1"/>
  </si>
  <si>
    <t>if (task_a_tcnt == 0) begin</t>
    <phoneticPr fontId="1"/>
  </si>
  <si>
    <t>#tchg</t>
    <phoneticPr fontId="1"/>
  </si>
  <si>
    <t>511:0</t>
    <phoneticPr fontId="1"/>
  </si>
  <si>
    <t>1:0</t>
    <phoneticPr fontId="1"/>
  </si>
  <si>
    <t>#tdiff</t>
    <phoneticPr fontId="1"/>
  </si>
  <si>
    <t>3</t>
    <phoneticPr fontId="1"/>
  </si>
  <si>
    <t>6</t>
    <phoneticPr fontId="1"/>
  </si>
  <si>
    <t>mem[6]</t>
  </si>
  <si>
    <t>mem[7]</t>
  </si>
  <si>
    <t>基点</t>
    <rPh sb="0" eb="2">
      <t>キテン</t>
    </rPh>
    <phoneticPr fontId="1"/>
  </si>
  <si>
    <t>#tdiffplus</t>
    <phoneticPr fontId="1"/>
  </si>
  <si>
    <t>送信側インターフェース定義</t>
    <rPh sb="0" eb="2">
      <t>ソウシン</t>
    </rPh>
    <rPh sb="2" eb="3">
      <t>ガワ</t>
    </rPh>
    <rPh sb="11" eb="13">
      <t>テイギ</t>
    </rPh>
    <phoneticPr fontId="1"/>
  </si>
  <si>
    <t>#inf_send</t>
    <phoneticPr fontId="1"/>
  </si>
  <si>
    <t>ACHS</t>
    <phoneticPr fontId="1"/>
  </si>
  <si>
    <t>受信側インターフェース定義</t>
    <rPh sb="0" eb="2">
      <t>ジュシン</t>
    </rPh>
    <rPh sb="2" eb="3">
      <t>ガワ</t>
    </rPh>
    <rPh sb="11" eb="13">
      <t>テイギ</t>
    </rPh>
    <phoneticPr fontId="1"/>
  </si>
  <si>
    <t>BCHR</t>
    <phoneticPr fontId="1"/>
  </si>
  <si>
    <t>ビット幅</t>
    <rPh sb="3" eb="4">
      <t>ハバ</t>
    </rPh>
    <phoneticPr fontId="1"/>
  </si>
  <si>
    <t>#inf</t>
    <phoneticPr fontId="1"/>
  </si>
  <si>
    <t>o_DT0</t>
    <phoneticPr fontId="1"/>
  </si>
  <si>
    <t>o_DT1</t>
    <phoneticPr fontId="1"/>
  </si>
  <si>
    <t>16</t>
    <phoneticPr fontId="1"/>
  </si>
  <si>
    <t>i_DT0</t>
    <phoneticPr fontId="1"/>
  </si>
  <si>
    <t>i_DT1</t>
    <phoneticPr fontId="1"/>
  </si>
  <si>
    <t>BCHS</t>
    <phoneticPr fontId="1"/>
  </si>
  <si>
    <t>ACHR</t>
    <phoneticPr fontId="1"/>
  </si>
  <si>
    <t>20</t>
    <phoneticPr fontId="1"/>
  </si>
  <si>
    <t>送信用レジスタ定義</t>
    <rPh sb="0" eb="2">
      <t>ソウシン</t>
    </rPh>
    <rPh sb="2" eb="3">
      <t>ヨウ</t>
    </rPh>
    <rPh sb="7" eb="9">
      <t>テイギ</t>
    </rPh>
    <phoneticPr fontId="1"/>
  </si>
  <si>
    <t>受信用レジスタ定義</t>
    <rPh sb="0" eb="2">
      <t>ジュシン</t>
    </rPh>
    <rPh sb="2" eb="3">
      <t>ヨウ</t>
    </rPh>
    <rPh sb="7" eb="9">
      <t>テイギ</t>
    </rPh>
    <phoneticPr fontId="1"/>
  </si>
  <si>
    <t>valid</t>
    <phoneticPr fontId="1"/>
  </si>
  <si>
    <t>r_DT0</t>
    <phoneticPr fontId="1"/>
  </si>
  <si>
    <t>r_DT1</t>
    <phoneticPr fontId="1"/>
  </si>
  <si>
    <t>ACHS_send_check(s_valid);</t>
    <phoneticPr fontId="1"/>
  </si>
  <si>
    <t>s_valid</t>
    <phoneticPr fontId="1"/>
  </si>
  <si>
    <t>ACHS_send(100,200);</t>
    <phoneticPr fontId="1"/>
  </si>
  <si>
    <t>ACHR_recv(valid,r_DT0,r_DT1);</t>
    <phoneticPr fontId="1"/>
  </si>
  <si>
    <t>#coverage</t>
    <phoneticPr fontId="1"/>
  </si>
  <si>
    <t xml:space="preserve">    $readmemh("aaa.hex", FILE_ROM_00000);</t>
  </si>
  <si>
    <t>#status</t>
    <phoneticPr fontId="1"/>
  </si>
  <si>
    <t>test</t>
    <phoneticPr fontId="1"/>
  </si>
  <si>
    <t>aa0</t>
    <phoneticPr fontId="1"/>
  </si>
  <si>
    <t>clk_o</t>
    <phoneticPr fontId="1"/>
  </si>
  <si>
    <t>0:ww0</t>
    <phoneticPr fontId="1"/>
  </si>
  <si>
    <t>aa1</t>
  </si>
  <si>
    <t>0:ww1</t>
  </si>
  <si>
    <t>aa2</t>
  </si>
  <si>
    <t>0:ww2</t>
  </si>
  <si>
    <t>aa3</t>
  </si>
  <si>
    <t>0:ww3</t>
  </si>
  <si>
    <t>aa4</t>
  </si>
  <si>
    <t>0:ww4</t>
  </si>
  <si>
    <t>aa5</t>
  </si>
  <si>
    <t>0:ww5</t>
  </si>
  <si>
    <t>ptr &lt;= ptr + 1;</t>
    <phoneticPr fontId="1"/>
  </si>
  <si>
    <t>レジスタの AND-OR 化とは</t>
  </si>
  <si>
    <t>通常は以下のような 長い else-if チェーンが生成される。</t>
  </si>
  <si>
    <t>これは 条件が直列に連なるためロングパスになり、タイミングが厳しくなる。</t>
  </si>
  <si>
    <t xml:space="preserve">    else if (aaa_i11_p | aaa_i12_p | aaa_i13_p | aaa_i14_p) begin</t>
  </si>
  <si>
    <t xml:space="preserve">          (aaa_i11_p ? {24'b0,dt0} : 32'h0)</t>
  </si>
  <si>
    <t xml:space="preserve">        | (aaa_i12_p ? {28'b0,dt1} : 32'h0)</t>
  </si>
  <si>
    <t xml:space="preserve">        | (aaa_i13_p ? {24'b0,dt2} : 32'h0)</t>
  </si>
  <si>
    <t xml:space="preserve">        | (aaa_i14_p ? {28'b0,dt3} : 32'h0);</t>
  </si>
  <si>
    <t>CSV-Verilog Maker II  では、以下のように 並列化された AND-OR 形式に変換できる。</t>
    <phoneticPr fontId="1"/>
  </si>
  <si>
    <t>●通常生成される Verilog（ロングパス）</t>
    <phoneticPr fontId="1"/>
  </si>
  <si>
    <t>●AND-OR 形式の Verilog（短いパス）</t>
    <phoneticPr fontId="1"/>
  </si>
  <si>
    <t>dt_o</t>
  </si>
  <si>
    <t>@~rstn:32'h0</t>
  </si>
  <si>
    <t>32'h0</t>
  </si>
  <si>
    <t>←AND-OR 化指定</t>
    <phoneticPr fontId="1"/>
  </si>
  <si>
    <t>←レジスタ定義</t>
    <phoneticPr fontId="1"/>
  </si>
  <si>
    <t>●意味</t>
    <phoneticPr fontId="1"/>
  </si>
  <si>
    <t>dt_o を AND-OR 形式で生成する</t>
    <phoneticPr fontId="1"/>
  </si>
  <si>
    <t>32'h0 は デフォルト値（条件不成立時の値）</t>
    <phoneticPr fontId="1"/>
  </si>
  <si>
    <t>条件を OR でまとめられる</t>
  </si>
  <si>
    <t>各条件の右辺は AND-OR で並列化される</t>
  </si>
  <si>
    <t>ロングパスが解消され、タイミングが改善される</t>
  </si>
  <si>
    <t xml:space="preserve">  右辺が排他的でない</t>
  </si>
  <si>
    <t xml:space="preserve">  複数条件が同時に成立する可能性がある</t>
  </si>
  <si>
    <t>論理的に AND-OR 展開してはいけないケースがある</t>
    <phoneticPr fontId="1"/>
  </si>
  <si>
    <t>#reg_andor を使うと、ステートマシン内のレジスタ更新が AND-OR 形式に変換される</t>
  </si>
  <si>
    <t>ロングパスを避け、タイミング改善に有効</t>
  </si>
  <si>
    <t>デフォルト値を指定する必要がある</t>
  </si>
  <si>
    <t>変換対象はステートマシン(RTL)内のレジスタ更新のみ</t>
    <rPh sb="0" eb="2">
      <t>ヘンカン</t>
    </rPh>
    <phoneticPr fontId="1"/>
  </si>
  <si>
    <t>対象はステートマシン(RTL)内のレジスタ更新のみ</t>
    <phoneticPr fontId="1"/>
  </si>
  <si>
    <t>1．AND-OR 形式への変換</t>
    <phoneticPr fontId="1"/>
  </si>
  <si>
    <t>2．AND-OR 化の指定方法</t>
    <phoneticPr fontId="1"/>
  </si>
  <si>
    <t>3．メリット</t>
    <phoneticPr fontId="1"/>
  </si>
  <si>
    <t>4．注意点</t>
    <phoneticPr fontId="1"/>
  </si>
  <si>
    <t>論理的に不可能な場合は指定しない事</t>
    <rPh sb="11" eb="13">
      <t>シテイ</t>
    </rPh>
    <rPh sb="16" eb="17">
      <t>コト</t>
    </rPh>
    <phoneticPr fontId="1"/>
  </si>
  <si>
    <t>ステートマシン(RTL)で同じレジスタに対して複数の条件分岐があると、</t>
    <phoneticPr fontId="1"/>
  </si>
  <si>
    <t>←ワイヤ定義</t>
    <rPh sb="4" eb="6">
      <t>テイギ</t>
    </rPh>
    <phoneticPr fontId="1"/>
  </si>
  <si>
    <t>←遅延定義</t>
    <rPh sb="1" eb="3">
      <t>チエン</t>
    </rPh>
    <rPh sb="3" eb="5">
      <t>テイギ</t>
    </rPh>
    <phoneticPr fontId="1"/>
  </si>
  <si>
    <t>継続的代入（#assign）</t>
  </si>
  <si>
    <t>assign 文を生成する</t>
  </si>
  <si>
    <t>#pull と同様に条件式を抽出して使用できる</t>
  </si>
  <si>
    <t>AND-OR 形式で条件を合成する</t>
  </si>
  <si>
    <t>CSV-Verilog Maker II  の #assign は ステートマシン形式を利用した継続的代入（continuous assignment） を生成する仕組み。</t>
    <phoneticPr fontId="1"/>
  </si>
  <si>
    <t>ステートマシン(RTL)内でも使用可能</t>
    <phoneticPr fontId="1"/>
  </si>
  <si>
    <t>wire名</t>
    <phoneticPr fontId="1"/>
  </si>
  <si>
    <t>右辺式</t>
    <phoneticPr fontId="1"/>
  </si>
  <si>
    <t>wire に対する assign 文を生成する</t>
  </si>
  <si>
    <t>ステートマシン内で複数条件がある場合は 条件式を OR でまとめ、右辺を AND-OR で合成する</t>
  </si>
  <si>
    <t>●生成される Verilog</t>
    <phoneticPr fontId="1"/>
  </si>
  <si>
    <t>assign ccc =</t>
  </si>
  <si>
    <t xml:space="preserve">      (((aaa == 32'h800) &amp;&amp; (bbb == 1'b0)) ? add : 8'h0)</t>
  </si>
  <si>
    <t xml:space="preserve">   || (((aaa == 32'h800) &amp;&amp; (bbb == 1'b1)) ? ddd : 8'h0);</t>
  </si>
  <si>
    <t>assign ddd = (fff &amp; bbb);</t>
  </si>
  <si>
    <t>●ポイント</t>
    <phoneticPr fontId="1"/>
  </si>
  <si>
    <t>条件式は AND で結合</t>
  </si>
  <si>
    <t>条件ブロックは OR で合成</t>
  </si>
  <si>
    <t>条件不成立時の値は 0（デフォルト）</t>
  </si>
  <si>
    <t>●サンプル</t>
    <phoneticPr fontId="1"/>
  </si>
  <si>
    <r>
      <t xml:space="preserve">  assign ccc = (</t>
    </r>
    <r>
      <rPr>
        <b/>
        <sz val="11"/>
        <color rgb="FFFF0000"/>
        <rFont val="Meiryo UI"/>
        <family val="3"/>
        <charset val="128"/>
      </rPr>
      <t xml:space="preserve">(cs) ? data </t>
    </r>
    <r>
      <rPr>
        <sz val="11"/>
        <rFont val="Meiryo UI"/>
        <family val="3"/>
        <charset val="128"/>
      </rPr>
      <t xml:space="preserve">: (((aaa == 32'h800) &amp;&amp; (bbb == 1'b0)) ? add :  (((aaa == 32'h800) &amp;&amp; (bbb == 1'b1))  ? ddd  : 32'h0))); </t>
    </r>
    <phoneticPr fontId="1"/>
  </si>
  <si>
    <r>
      <t xml:space="preserve">  assign eee =(((aaa == 32'h800) &amp;&amp; (bbb == 1'b0)) ? add :  (((aaa == 32'h800) &amp;&amp; (bbb == 1'b1))  ? ddd  : </t>
    </r>
    <r>
      <rPr>
        <b/>
        <sz val="11"/>
        <color rgb="FFFF0000"/>
        <rFont val="Meiryo UI"/>
        <family val="3"/>
        <charset val="128"/>
      </rPr>
      <t>32'hffffffff</t>
    </r>
    <r>
      <rPr>
        <sz val="11"/>
        <rFont val="Meiryo UI"/>
        <family val="3"/>
        <charset val="128"/>
      </rPr>
      <t xml:space="preserve">)); </t>
    </r>
    <phoneticPr fontId="1"/>
  </si>
  <si>
    <t>●wire_o の仕様</t>
    <phoneticPr fontId="1"/>
  </si>
  <si>
    <t>#wire_o は 外部の assign式 を生成する</t>
  </si>
  <si>
    <t>cs:data  → cs が 1 のとき data を優先</t>
  </si>
  <si>
    <t>-:値  　 　→ 条件不成立時のデフォルト値</t>
  </si>
  <si>
    <t>#delay &lt;wire名&gt; #&lt;遅延値&gt;</t>
  </si>
  <si>
    <t>Verilog の 遅延付き assign を生成する</t>
  </si>
  <si>
    <t>●構文</t>
    <phoneticPr fontId="1"/>
  </si>
  <si>
    <t>wire名</t>
    <rPh sb="4" eb="5">
      <t>メイ</t>
    </rPh>
    <phoneticPr fontId="1"/>
  </si>
  <si>
    <t>遅延値</t>
    <rPh sb="0" eb="3">
      <t>チエンチ</t>
    </rPh>
    <phoneticPr fontId="1"/>
  </si>
  <si>
    <t>レジスタ定義</t>
    <rPh sb="4" eb="6">
      <t>テイギ</t>
    </rPh>
    <phoneticPr fontId="1"/>
  </si>
  <si>
    <t>ワイヤの定義</t>
    <rPh sb="4" eb="6">
      <t>テイギ</t>
    </rPh>
    <phoneticPr fontId="1"/>
  </si>
  <si>
    <t>レジスタ（FF）とワイヤ（assign）の混合定義を 1 行で記述するための構文。</t>
  </si>
  <si>
    <t>・レジスタ名は自動的に &lt;name&gt;_pp になる</t>
  </si>
  <si>
    <t>・&lt;name&gt; は wire として宣言される</t>
  </si>
  <si>
    <t>・# の右側が assign 式</t>
  </si>
  <si>
    <t>・@ の部分に レジスタ値（&lt;name&gt;_pp） が入る</t>
  </si>
  <si>
    <t>2．wire_o を使った外部式</t>
    <rPh sb="15" eb="16">
      <t>シキ</t>
    </rPh>
    <phoneticPr fontId="1"/>
  </si>
  <si>
    <t>3．遅延付き assign（#delay）</t>
    <phoneticPr fontId="1"/>
  </si>
  <si>
    <r>
      <t xml:space="preserve">add </t>
    </r>
    <r>
      <rPr>
        <sz val="11"/>
        <rFont val="Meiryo UI"/>
        <family val="3"/>
        <charset val="128"/>
      </rPr>
      <t>= 32'h100</t>
    </r>
    <phoneticPr fontId="1"/>
  </si>
  <si>
    <r>
      <t xml:space="preserve">data = </t>
    </r>
    <r>
      <rPr>
        <b/>
        <sz val="11"/>
        <color indexed="10"/>
        <rFont val="Meiryo UI"/>
        <family val="3"/>
        <charset val="128"/>
      </rPr>
      <t>add</t>
    </r>
    <r>
      <rPr>
        <sz val="11"/>
        <rFont val="Meiryo UI"/>
        <family val="3"/>
        <charset val="128"/>
      </rPr>
      <t>;</t>
    </r>
    <phoneticPr fontId="1"/>
  </si>
  <si>
    <r>
      <t>add</t>
    </r>
    <r>
      <rPr>
        <sz val="11"/>
        <rFont val="Meiryo UI"/>
        <family val="3"/>
        <charset val="128"/>
      </rPr>
      <t xml:space="preserve"> = 32'h200</t>
    </r>
    <phoneticPr fontId="1"/>
  </si>
  <si>
    <r>
      <t>add</t>
    </r>
    <r>
      <rPr>
        <sz val="11"/>
        <rFont val="Meiryo UI"/>
        <family val="3"/>
        <charset val="128"/>
      </rPr>
      <t xml:space="preserve"> &amp; as</t>
    </r>
    <phoneticPr fontId="1"/>
  </si>
  <si>
    <t>●レジスタ定義</t>
  </si>
  <si>
    <t>@条件式:値 の形式（#reg と同じ）</t>
  </si>
  <si>
    <t>● ワイヤ定義</t>
  </si>
  <si>
    <t>assign 文の右辺式</t>
  </si>
  <si>
    <t>@ は自動的に &lt;信号名&gt;_pp に置換される</t>
  </si>
  <si>
    <t>1．継続的代入</t>
    <rPh sb="2" eb="7">
      <t>ケイゾクテキダイニュウ</t>
    </rPh>
    <phoneticPr fontId="1"/>
  </si>
  <si>
    <t>●基本構文</t>
    <phoneticPr fontId="1"/>
  </si>
  <si>
    <t>ワイヤレジスタ（#wire_reg）</t>
    <phoneticPr fontId="1"/>
  </si>
  <si>
    <t>1．ワイヤレジスタ</t>
    <phoneticPr fontId="1"/>
  </si>
  <si>
    <t>2. ワイヤレジスタとは</t>
  </si>
  <si>
    <t>ワイヤレジスタは レジスタ（FF）とワイヤ（assign）の混合定義である。</t>
  </si>
  <si>
    <t>レジスタ名は自動的に &lt;信号名&gt;_pp になる</t>
  </si>
  <si>
    <t>&lt;信号名&gt; は wire として宣言される</t>
  </si>
  <si>
    <t># の右側は assign 式</t>
  </si>
  <si>
    <t>ステートマシン内の #cmd と #assign が自動的に合成される</t>
  </si>
  <si>
    <t>@ → add_pp に置換</t>
  </si>
  <si>
    <t>#assign add xxx が OR 合成される</t>
  </si>
  <si>
    <t>wire_reg の assign が「基本値」</t>
  </si>
  <si>
    <t>ステートマシンの assign が「追加条件」として OR 合成される</t>
  </si>
  <si>
    <t>ステートマシンの #cmd add = xxx が</t>
  </si>
  <si>
    <t>→ add_pp &lt;= xxx に変換される</t>
  </si>
  <si>
    <t>状態遷移に応じて add_pp が更新される</t>
  </si>
  <si>
    <t>・レジスタ名は &lt;name&gt;_pp に自動変換</t>
  </si>
  <si>
    <t>・&lt;name&gt; は wire として assign される</t>
  </si>
  <si>
    <t>・assign 式の @ は &lt;name&gt;_pp に置換</t>
  </si>
  <si>
    <t>例：</t>
  </si>
  <si>
    <t>・ステートマシンの #assign は OR 合成</t>
  </si>
  <si>
    <t>　ユーザは &lt;name&gt; をレジスタとして扱えるが、実際の FF は &lt;name&gt;_pp。</t>
    <phoneticPr fontId="1"/>
  </si>
  <si>
    <t>　assign 式で加工された値が出力される。</t>
    <phoneticPr fontId="1"/>
  </si>
  <si>
    <t>　例：</t>
    <phoneticPr fontId="1"/>
  </si>
  <si>
    <t xml:space="preserve">　en ? @ : Z  </t>
    <phoneticPr fontId="1"/>
  </si>
  <si>
    <t>　↓</t>
    <phoneticPr fontId="1"/>
  </si>
  <si>
    <t>　en ? add_pp : Z</t>
    <phoneticPr fontId="1"/>
  </si>
  <si>
    <t>　複数条件がある場合：</t>
    <phoneticPr fontId="1"/>
  </si>
  <si>
    <t>assign add =</t>
  </si>
  <si>
    <t xml:space="preserve">    (wire_reg の assign)</t>
  </si>
  <si>
    <t xml:space="preserve"> || (ステートマシンの条件1 ? 値1 : 0)</t>
  </si>
  <si>
    <t xml:space="preserve"> || (ステートマシンの条件2 ? 値2 : 0)</t>
  </si>
  <si>
    <t xml:space="preserve"> ...</t>
  </si>
  <si>
    <t>・ステートマシンの #cmd は &lt;name&gt;_pp に代入</t>
    <phoneticPr fontId="1"/>
  </si>
  <si>
    <t>　always ブロックに展開される。</t>
    <phoneticPr fontId="1"/>
  </si>
  <si>
    <t>6. 利点</t>
  </si>
  <si>
    <t>レジスタとワイヤの関係を 1 行で記述できる</t>
  </si>
  <si>
    <t>レジスタ値をワイヤで加工して出力できる</t>
  </si>
  <si>
    <t>→ バス制御に最適（Z 制御など）</t>
  </si>
  <si>
    <t>ステートマシンの assign と自然に合成される</t>
  </si>
  <si>
    <t>状態依存の出力生成が簡潔に書ける</t>
  </si>
  <si>
    <t>7. まとめ</t>
  </si>
  <si>
    <t>項目</t>
  </si>
  <si>
    <t>内容</t>
  </si>
  <si>
    <t>&lt;name&gt;_pp に自動変換</t>
  </si>
  <si>
    <t>&lt;name&gt;</t>
  </si>
  <si>
    <t>assign の @</t>
  </si>
  <si>
    <t>&lt;name&gt;_pp に置換</t>
  </si>
  <si>
    <t>ステートマシンの #cmd</t>
  </si>
  <si>
    <t>&lt;name&gt;_pp に代入</t>
  </si>
  <si>
    <t>ステートマシンの #assign</t>
  </si>
  <si>
    <t>OR 合成されて &lt;name&gt; の assign に追加</t>
  </si>
  <si>
    <t>用途</t>
  </si>
  <si>
    <t>バス制御、状態依存の出力生成</t>
  </si>
  <si>
    <t>メモリ定義（#reg メモリ形式）</t>
  </si>
  <si>
    <t>mem</t>
  </si>
  <si>
    <t>32/100</t>
  </si>
  <si>
    <t>メモリ名</t>
  </si>
  <si>
    <t>ビット幅/深さ</t>
    <rPh sb="3" eb="4">
      <t>ハバ</t>
    </rPh>
    <rPh sb="5" eb="6">
      <t>フカ</t>
    </rPh>
    <phoneticPr fontId="1"/>
  </si>
  <si>
    <t>ビット幅：1 ワードのビット数</t>
  </si>
  <si>
    <t>深さ：メモリの要素数</t>
  </si>
  <si>
    <t>この形式で記述した場合、クロックは指定しない</t>
  </si>
  <si>
    <t>Verilog の メモリ配列（reg 配列）として生成される</t>
  </si>
  <si>
    <t>#reg を使うが、クロック指定が無い場合はメモリとして扱う</t>
  </si>
  <si>
    <t>生成されるのは以下の形式：</t>
  </si>
  <si>
    <t>reg [ビット幅-1:0] メモリ名 [深さ-1:0];</t>
  </si>
  <si>
    <t>深さは 0 から (深さ-1) のインデックスになる</t>
  </si>
  <si>
    <t>ステートマシンや assign とは独立した単純なメモリ定義</t>
  </si>
  <si>
    <t>●例</t>
    <phoneticPr fontId="1"/>
  </si>
  <si>
    <t>reg [31:0] mem [99:0];</t>
  </si>
  <si>
    <t>32/100 → 32bit × 100ワード</t>
  </si>
  <si>
    <t>配列の上限は 100-1 = 99</t>
  </si>
  <si>
    <t>Verilog の標準的なメモリ宣言に変換される</t>
  </si>
  <si>
    <t>●ポイント</t>
  </si>
  <si>
    <t>1. メモリ定義</t>
    <rPh sb="6" eb="8">
      <t>テイギ</t>
    </rPh>
    <phoneticPr fontId="1"/>
  </si>
  <si>
    <t>2. 注意点</t>
    <phoneticPr fontId="1"/>
  </si>
  <si>
    <t xml:space="preserve">クロックを指定した場合は通常のレジスタ扱いになる  </t>
  </si>
  <si>
    <t>→ メモリとして扱いたい場合はクロックを書かない</t>
  </si>
  <si>
    <t>メモリの読み書きはユーザが Verilog 側で行う</t>
  </si>
  <si>
    <t>→ CSV-Verilog Maker II はメモリの宣言のみ生成する</t>
  </si>
  <si>
    <t>深さは必ず / で指定する</t>
  </si>
  <si>
    <t>→ 32/100 のように記述</t>
  </si>
  <si>
    <t>3. まとめ</t>
    <phoneticPr fontId="1"/>
  </si>
  <si>
    <t>定義方法</t>
  </si>
  <si>
    <t>#reg name bit/size</t>
  </si>
  <si>
    <t>クロック指定</t>
  </si>
  <si>
    <t>しない（指定すると通常レジスタになる）</t>
  </si>
  <si>
    <t>生成形式</t>
  </si>
  <si>
    <t>reg [bit-1:0] name [size-1:0];</t>
  </si>
  <si>
    <t>RAM/ROM の宣言、テーブル、バッファなど</t>
  </si>
  <si>
    <t>レジスタの動作追加（#reg_body）</t>
    <phoneticPr fontId="1"/>
  </si>
  <si>
    <t>1. レジスタの動作追加</t>
    <phoneticPr fontId="1"/>
  </si>
  <si>
    <t>条件:右辺</t>
  </si>
  <si>
    <t>既に定義済みのレジスタに対して、追加の動作（条件付き代入）を記述するための構文</t>
  </si>
  <si>
    <t>レジスタ定義（#reg）とは別ファイルに記述できる</t>
  </si>
  <si>
    <t>→ 動作を可変にしたい場合に便利</t>
  </si>
  <si>
    <t>ステートマシンを使わず、単純な条件付き代入を追加できる</t>
  </si>
  <si>
    <t>#reg で定義されたレジスタに対して、</t>
  </si>
  <si>
    <t>追加の else-if ブロックとして always ブロックに挿入される</t>
  </si>
  <si>
    <t>形式は以下のように変換される：</t>
  </si>
  <si>
    <t>else if (条件) begin</t>
  </si>
  <si>
    <t xml:space="preserve">    レジスタ名 &lt;= 右辺;</t>
  </si>
  <si>
    <t>複数の #reg_body を記述すると、記述順に従って else-if が追加される</t>
  </si>
  <si>
    <t>add_reg</t>
  </si>
  <si>
    <t>@~rst:32'h0</t>
  </si>
  <si>
    <t>en:add</t>
  </si>
  <si>
    <t>always @(posedge clk or negedge rst) begin</t>
  </si>
  <si>
    <t xml:space="preserve">        add_reg &lt;= 32'h0;</t>
  </si>
  <si>
    <t xml:space="preserve">        add_reg &lt;= add;</t>
  </si>
  <si>
    <t>●詳細仕様</t>
    <phoneticPr fontId="1"/>
  </si>
  <si>
    <t xml:space="preserve"> 1. #reg_body は既存のレジスタに対する追加動作</t>
  </si>
  <si>
    <t>#reg の always ブロックに else-if として追加される</t>
  </si>
  <si>
    <t>ステートマシンを使わない単純な条件式を追加したい場合に最適</t>
  </si>
  <si>
    <t xml:space="preserve"> 2. 条件式は 条件:右辺 の形式</t>
  </si>
  <si>
    <t xml:space="preserve">en:add  </t>
  </si>
  <si>
    <t>→ else if (en) add_reg &lt;= add;</t>
  </si>
  <si>
    <t xml:space="preserve"> 3. 複数の #reg_body がある場合</t>
  </si>
  <si>
    <t>記述順に従って以下のように展開される：</t>
  </si>
  <si>
    <t>else if (条件1) begin</t>
  </si>
  <si>
    <t xml:space="preserve">    add_reg &lt;= 値1;</t>
  </si>
  <si>
    <t>else if (条件2) begin</t>
  </si>
  <si>
    <t xml:space="preserve">    add_reg &lt;= 値2;</t>
  </si>
  <si>
    <t>...</t>
  </si>
  <si>
    <t xml:space="preserve"> 4. ステートマシンの #cmd と共存可能</t>
  </si>
  <si>
    <t>#cmd add_reg = xxx はステートマシンの always ブロックに入る</t>
  </si>
  <si>
    <t>#reg_body は ステートマシン外の追加動作として扱われる</t>
  </si>
  <si>
    <t>どちらも add_reg の更新に参加するが、生成位置は別</t>
  </si>
  <si>
    <t xml:space="preserve">レジスタの動作を 別ファイルで追加できる  </t>
  </si>
  <si>
    <t>→ 設計のモジュール化・可変化に便利</t>
  </si>
  <si>
    <t>ステートマシンを使わずに単純な条件付き代入を追加できる</t>
  </si>
  <si>
    <t>既存のレジスタ定義を壊さずに動作を拡張できる</t>
  </si>
  <si>
    <t>●利点</t>
    <rPh sb="1" eb="3">
      <t>リテン</t>
    </rPh>
    <phoneticPr fontId="1"/>
  </si>
  <si>
    <t>2. まとめ</t>
    <phoneticPr fontId="1"/>
  </si>
  <si>
    <t>#reg_body name 条件:右辺</t>
  </si>
  <si>
    <t>else if (条件) name &lt;= 右辺;</t>
  </si>
  <si>
    <t>追加位置</t>
  </si>
  <si>
    <t>#reg の always ブロック内</t>
  </si>
  <si>
    <t>動作の追加・外部ファイルでの動作切替</t>
  </si>
  <si>
    <t>ステートマシンとの関係</t>
  </si>
  <si>
    <t>共存可能（別ブロックで生成）</t>
  </si>
  <si>
    <t>idle状態は常にループして</t>
  </si>
  <si>
    <t>rdyを監視し、rdyがきたらlt1の状態を起動している。</t>
  </si>
  <si>
    <t>状態繊維はしない。</t>
  </si>
  <si>
    <t>パイプライン（複数状態ステートマシン）</t>
  </si>
  <si>
    <t>1. 概要</t>
  </si>
  <si>
    <t>つまり：</t>
  </si>
  <si>
    <t>一般的なステートマシンは</t>
  </si>
  <si>
    <t xml:space="preserve">  1状態＝1タスク</t>
  </si>
  <si>
    <t xml:space="preserve">  状態は排他的に1つだけ有効</t>
  </si>
  <si>
    <t>という構造だが、</t>
  </si>
  <si>
    <t>CSV-Verilog Maker のステートマシンは複数状態を同時に保持可能である。</t>
  </si>
  <si>
    <t xml:space="preserve">  状態 FF（aaa_idle, aaa_lt1, aaa_lt2）が 独立して High/Low を保持できる </t>
  </si>
  <si>
    <t xml:space="preserve">  複数状態が同時に High になれる</t>
  </si>
  <si>
    <t xml:space="preserve">  よって パイプライン構造を自然に記述できる</t>
  </si>
  <si>
    <t>2. 記述例</t>
    <phoneticPr fontId="1"/>
  </si>
  <si>
    <t>add_in</t>
  </si>
  <si>
    <t>add0</t>
  </si>
  <si>
    <t xml:space="preserve">rdy </t>
  </si>
  <si>
    <t>gnt</t>
  </si>
  <si>
    <t>add0 = add_in;</t>
  </si>
  <si>
    <t>lt1</t>
  </si>
  <si>
    <t>add1 = add0;</t>
  </si>
  <si>
    <t>lt2</t>
  </si>
  <si>
    <t>rdy</t>
  </si>
  <si>
    <t>add2 = add1;</t>
  </si>
  <si>
    <t>idle は 常に High のままループする。</t>
  </si>
  <si>
    <t xml:space="preserve">  rdy を常時監視</t>
  </si>
  <si>
    <t xml:space="preserve">  gnt が来たら lt1 を起動（#act）</t>
  </si>
  <si>
    <t xml:space="preserve">  自身は遷移しない（#go が無い）</t>
  </si>
  <si>
    <t>idle は「パイプラインの入口監視状態」</t>
  </si>
  <si>
    <t>●idle 状態の役割</t>
    <phoneticPr fontId="1"/>
  </si>
  <si>
    <t>●lt1 状態の役割（第1段）</t>
    <phoneticPr fontId="1"/>
  </si>
  <si>
    <t>rdy が来たら add1 に add0 を転送</t>
  </si>
  <si>
    <t>次段 lt2 を起動</t>
  </si>
  <si>
    <t>lt1 は「第1段の処理＋次段起動」</t>
  </si>
  <si>
    <t>●lt2 状態の役割（第2段）</t>
    <phoneticPr fontId="1"/>
  </si>
  <si>
    <t>rdy が来たら add2 に add1 を転送</t>
  </si>
  <si>
    <t>最後に lt2 を停止</t>
  </si>
  <si>
    <t>lt2 は「最終段の処理＋停止」</t>
  </si>
  <si>
    <t>rdy が来るたびに 1 段進む</t>
  </si>
  <si>
    <t>idle → lt1 → lt2 の順に状態が起動される</t>
  </si>
  <si>
    <t>lt2 は最後に停止する</t>
  </si>
  <si>
    <t>※遷移はrdy信号が基準である。</t>
    <rPh sb="1" eb="3">
      <t>センイ</t>
    </rPh>
    <rPh sb="7" eb="9">
      <t>シンゴウ</t>
    </rPh>
    <rPh sb="10" eb="12">
      <t>キジュン</t>
    </rPh>
    <phoneticPr fontId="1"/>
  </si>
  <si>
    <t>3. なぜ複数状態が同時に動作できるのか？</t>
    <phoneticPr fontId="1"/>
  </si>
  <si>
    <t>CSV?Verilog Maker のステートマシンは：</t>
  </si>
  <si>
    <t>・各状態に 専用の状態 FF（aaa_idle, aaa_lt1, aaa_lt2） を生成</t>
  </si>
  <si>
    <t>・それぞれが独立して High/Low を保持</t>
  </si>
  <si>
    <t>・よって 複数状態が同時に High になれる</t>
  </si>
  <si>
    <t>これにより：</t>
  </si>
  <si>
    <t>・idle が High のまま</t>
  </si>
  <si>
    <t>・lt1 も High</t>
  </si>
  <si>
    <t>・lt2 も High</t>
  </si>
  <si>
    <t>という パイプライン構造が自然に表現できる。</t>
  </si>
  <si>
    <t>特徴</t>
  </si>
  <si>
    <t>複数状態を同時に保持可能</t>
  </si>
  <si>
    <t>利点</t>
  </si>
  <si>
    <t>パイプライン構造を簡潔に記述できる</t>
  </si>
  <si>
    <t>#status は テストベンチ専用ステートマシンを定義するコマンド。</t>
  </si>
  <si>
    <t>・テストベンチ内で複雑なシーケンスを自動生成できる</t>
  </si>
  <si>
    <t>・ステートマシンの初期状態は ロックされているため、必ずリセットが必要</t>
  </si>
  <si>
    <t>・ステートマシンを定義すると、タスクが自動生成される：</t>
  </si>
  <si>
    <t>2. 基本構文</t>
  </si>
  <si>
    <t>ローカル変数名</t>
  </si>
  <si>
    <t>ビット幅</t>
  </si>
  <si>
    <t>初期値</t>
  </si>
  <si>
    <t>Verilogコマンド</t>
  </si>
  <si>
    <t>スケジュールコマンド</t>
  </si>
  <si>
    <t>状態起動（遷移しない）</t>
  </si>
  <si>
    <t>状態停止</t>
  </si>
  <si>
    <t>条件</t>
    <phoneticPr fontId="1"/>
  </si>
  <si>
    <t>3. 記述例</t>
  </si>
  <si>
    <t>●ローカル変数（#slocal）</t>
    <phoneticPr fontId="1"/>
  </si>
  <si>
    <t>テストベンチ内でのみ使用可能</t>
  </si>
  <si>
    <t>使用時は @Lcnt のように @L を付ける</t>
  </si>
  <si>
    <t>●パラメータ変数（#sparm）</t>
    <phoneticPr fontId="1"/>
  </si>
  <si>
    <t>ステートマシンリセット時に値を渡せる</t>
  </si>
  <si>
    <t>使用時は @Pppp のように @P を付ける</t>
  </si>
  <si>
    <t>5．条件分岐（#if / #elseif / #else / #endif）</t>
    <phoneticPr fontId="1"/>
  </si>
  <si>
    <t>4. ローカル変数とパラメータ変数(#slocal / #sparm)</t>
    <phoneticPr fontId="1"/>
  </si>
  <si>
    <t>6. 状態遷移の種類</t>
    <phoneticPr fontId="1"/>
  </si>
  <si>
    <t>次のクロックでその状態が実行される。</t>
  </si>
  <si>
    <t>*状態名</t>
  </si>
  <si>
    <t>状態を起動するが、遷移はしない。</t>
  </si>
  <si>
    <t>状態を停止する。</t>
  </si>
  <si>
    <t>遷移先の状態を即時実行する（同サイクルで実行）。</t>
    <phoneticPr fontId="1"/>
  </si>
  <si>
    <t>7. スケジュールコマンド（#chg）</t>
    <phoneticPr fontId="1"/>
  </si>
  <si>
    <t>クロック名</t>
  </si>
  <si>
    <t>サイクル:値</t>
  </si>
  <si>
    <t>条件成立後、指定クロックで値を変更する</t>
  </si>
  <si>
    <t>テストベンチ用ステートマシンでは 信号幅に注意</t>
  </si>
  <si>
    <t>注意点</t>
  </si>
  <si>
    <t>●注意点</t>
    <phoneticPr fontId="1"/>
  </si>
  <si>
    <t>例1：即値を指定した場合</t>
  </si>
  <si>
    <t>clko</t>
  </si>
  <si>
    <t>0:64'h0</t>
  </si>
  <si>
    <t>→ aaa は 64bit として扱われる</t>
    <phoneticPr fontId="1"/>
  </si>
  <si>
    <t>例2：信号を指定した場合</t>
    <phoneticPr fontId="1"/>
  </si>
  <si>
    <t>0:w_aaa</t>
  </si>
  <si>
    <t>→ aaa のビット幅は 特定されず 32bit になる</t>
  </si>
  <si>
    <t>例3：#reg で定義されている場合</t>
    <phoneticPr fontId="1"/>
  </si>
  <si>
    <t>→ #reg のビット幅（16bit）が採用される</t>
    <phoneticPr fontId="1"/>
  </si>
  <si>
    <t>●推奨</t>
    <phoneticPr fontId="1"/>
  </si>
  <si>
    <t>必ず #reg で信号幅を指定すること</t>
  </si>
  <si>
    <t>→ #chg のビット幅推定が安全になる</t>
  </si>
  <si>
    <t>→ テストベンチの信号幅不一致を防止できる</t>
  </si>
  <si>
    <t>ステートマシン定義</t>
  </si>
  <si>
    <t>#status name clk</t>
  </si>
  <si>
    <t>初期状態</t>
  </si>
  <si>
    <t>最初の #st が初期状態（ロックされる）</t>
  </si>
  <si>
    <t>必要操作</t>
  </si>
  <si>
    <t>test_a_rst(ppp) で初期化</t>
  </si>
  <si>
    <t>自動生成タスク</t>
  </si>
  <si>
    <t>stop / reset</t>
  </si>
  <si>
    <t>@Lxxx</t>
  </si>
  <si>
    <t>@Pxxx</t>
  </si>
  <si>
    <t>#go, #go *, #act, #stop</t>
  </si>
  <si>
    <t>スケジュール</t>
  </si>
  <si>
    <t>#chg（クロック基準）</t>
  </si>
  <si>
    <t>#chg の信号幅は #reg で指定するのが安全</t>
  </si>
  <si>
    <t>テストベンチ用ステートマシン（#status）</t>
    <phoneticPr fontId="1"/>
  </si>
  <si>
    <t>テストベンチ用スケジューリングコマンド（#chg）</t>
    <phoneticPr fontId="1"/>
  </si>
  <si>
    <t>スケジューリングコマンド #chg は テストベンチ用ステートマシン内でのみ使用可能。</t>
  </si>
  <si>
    <t>・条件成立後、指定クロック換算のサイクルで信号値を変化させる／Verilog コマンドを実行する</t>
    <phoneticPr fontId="1"/>
  </si>
  <si>
    <t>・テストベンチでの波形生成に非常に強力</t>
    <phoneticPr fontId="1"/>
  </si>
  <si>
    <t>又は</t>
    <rPh sb="0" eb="1">
      <t>マタ</t>
    </rPh>
    <phoneticPr fontId="1"/>
  </si>
  <si>
    <t>サイクル:Verilogコマンド</t>
  </si>
  <si>
    <t>3. 波形生成例</t>
  </si>
  <si>
    <t>cs</t>
  </si>
  <si>
    <t>3:1'b1</t>
  </si>
  <si>
    <t>ad</t>
  </si>
  <si>
    <t>1:64'h0</t>
  </si>
  <si>
    <t>4:64'hz</t>
  </si>
  <si>
    <t>●記述</t>
    <phoneticPr fontId="1"/>
  </si>
  <si>
    <t>●波形</t>
    <rPh sb="1" eb="3">
      <t>ハケイ</t>
    </rPh>
    <phoneticPr fontId="1"/>
  </si>
  <si>
    <t>条件成立後、clk の 2 サイクル目で cs=0</t>
  </si>
  <si>
    <t>3 サイクル目で cs=1</t>
  </si>
  <si>
    <t>ad は 1 サイクル目で 64'h0、4 サイクル目で 64'hz</t>
  </si>
  <si>
    <t>4. Verilog コマンドを直接実行する（#cmd）</t>
  </si>
  <si>
    <t>2:$fdisplay(log_fp,"%d,%d",test_sno,test_mno);</t>
  </si>
  <si>
    <t>→ clk の 2 サイクル目で $fdisplay を実行。</t>
  </si>
  <si>
    <t>5. 変化点インヒビット（#chgtrap）</t>
    <phoneticPr fontId="1"/>
  </si>
  <si>
    <t>#chgtrap</t>
  </si>
  <si>
    <t>●構文</t>
    <rPh sb="1" eb="3">
      <t>コウブン</t>
    </rPh>
    <phoneticPr fontId="1"/>
  </si>
  <si>
    <t>変化点数</t>
    <rPh sb="0" eb="4">
      <t>ヘンカテンスウ</t>
    </rPh>
    <phoneticPr fontId="1"/>
  </si>
  <si>
    <t>変化サイクルが 99 以上の場合、その変化を無効化する</t>
  </si>
  <si>
    <t>大きすぎるサイクル指定を防ぐための安全機能</t>
  </si>
  <si>
    <t>6. 変化点の最大数（#chgmax）</t>
    <phoneticPr fontId="1"/>
  </si>
  <si>
    <t>スケジューリングコマンドは内部で</t>
  </si>
  <si>
    <t>「変化点情報」を配列に保持する。</t>
  </si>
  <si>
    <t>　この配列のサイズを超えるとエラー</t>
  </si>
  <si>
    <t>　配列サイズは #chgmax で設定可能</t>
  </si>
  <si>
    <t>#chgmax</t>
  </si>
  <si>
    <t>変化点最大数</t>
    <rPh sb="0" eb="3">
      <t>ヘンカテン</t>
    </rPh>
    <rPh sb="3" eb="6">
      <t>サイダイスウ</t>
    </rPh>
    <phoneticPr fontId="1"/>
  </si>
  <si>
    <t>→ 変化点を最大 10 個まで保持可能</t>
  </si>
  <si>
    <t>9. まとめ</t>
  </si>
  <si>
    <t>7. まとめ</t>
    <phoneticPr fontId="1"/>
  </si>
  <si>
    <t>使用場所</t>
  </si>
  <si>
    <t>ステートマシン内のみ</t>
  </si>
  <si>
    <t>目的</t>
  </si>
  <si>
    <t>クロック換算で信号値を変化／コマンド実行</t>
  </si>
  <si>
    <t>Verilog コマンド</t>
  </si>
  <si>
    <t>#chg #cmd で実行可能</t>
  </si>
  <si>
    <t>値の保持</t>
  </si>
  <si>
    <t>信号名指定は「保持」する</t>
  </si>
  <si>
    <t>時点値使用</t>
  </si>
  <si>
    <t>インヒビット</t>
  </si>
  <si>
    <t>最大変化点</t>
  </si>
  <si>
    <t>ビット幅注意</t>
  </si>
  <si>
    <t>#reg で定義するのが安全</t>
  </si>
  <si>
    <t>#cmd はその時点にVerilogコマンド実行</t>
    <rPh sb="22" eb="24">
      <t>ジッコウ</t>
    </rPh>
    <phoneticPr fontId="1"/>
  </si>
  <si>
    <t>500</t>
    <phoneticPr fontId="1"/>
  </si>
  <si>
    <t>#patern を定義すると、</t>
  </si>
  <si>
    <t>テストシナリオを格納するためのキュー／FIFO構造が自動生成される。</t>
  </si>
  <si>
    <t>・テストベンチにシナリオ情報を与えるための仕組み</t>
  </si>
  <si>
    <t>・キュー（リングバッファ）としても FIFO としても使用可能</t>
  </si>
  <si>
    <t>・自動的に タスク／ファンクション／配列が生成される</t>
  </si>
  <si>
    <t>2. パラメータ定義</t>
  </si>
  <si>
    <t>数</t>
  </si>
  <si>
    <t>パラメータ総数の上限</t>
  </si>
  <si>
    <t>項目名</t>
  </si>
  <si>
    <t>←オプション（終了前に実行するタスク）</t>
    <phoneticPr fontId="1"/>
  </si>
  <si>
    <t>←パラメータ総数の上限</t>
    <phoneticPr fontId="1"/>
  </si>
  <si>
    <t>・パラメータ名：a_parm</t>
  </si>
  <si>
    <t>・終了時タスク：aaa</t>
  </si>
  <si>
    <t>・最大登録数：500個</t>
  </si>
  <si>
    <t>・項目（フィールド）</t>
  </si>
  <si>
    <t>　・a_add（32bit）</t>
  </si>
  <si>
    <t>　・a_data（32bit）</t>
  </si>
  <si>
    <t>　・a_tim（8bit）</t>
  </si>
  <si>
    <t>3. 自動生成されるタスク／ファンクション</t>
  </si>
  <si>
    <t>パラメータ定義を行うと、以下の機能が自動生成される。</t>
  </si>
  <si>
    <t>名前</t>
  </si>
  <si>
    <t>a_parm_ring_get</t>
  </si>
  <si>
    <t>キューから1件取り出す。空なら先頭に戻る（リング構造）。</t>
  </si>
  <si>
    <t>a_parm_get</t>
  </si>
  <si>
    <t>キューから1件取り出す。空ならシミュレーション終了（終了前に aaa を実行）。</t>
  </si>
  <si>
    <t>a_parm_put(a_add,a_data,a_tim)</t>
  </si>
  <si>
    <t>引数でデータを1件追加。</t>
  </si>
  <si>
    <t>a_parm_push</t>
  </si>
  <si>
    <t>変数 a_add,a_data,a_tim の値を使って1件追加。</t>
  </si>
  <si>
    <t>a_parm_pop</t>
  </si>
  <si>
    <t>キューから1件取り出す。空なら0、データありなら1を返す。</t>
  </si>
  <si>
    <t>a_parm_clr</t>
  </si>
  <si>
    <t>キューを空にする。</t>
  </si>
  <si>
    <t>a_parm_fifo_rd</t>
  </si>
  <si>
    <t>FIFO として読み出し。</t>
  </si>
  <si>
    <t>a_parm_fifo_wr(a_add,a_data,a_tim)</t>
  </si>
  <si>
    <t>FIFO として書き込み。</t>
  </si>
  <si>
    <t>●特徴</t>
    <phoneticPr fontId="1"/>
  </si>
  <si>
    <t>リングバッファ（キュー）としても FIFO としても使える</t>
  </si>
  <si>
    <t>テストシナリオを Verilog 内部で管理できる</t>
  </si>
  <si>
    <t>自動生成されるため、ユーザはシナリオ記述に集中できる</t>
  </si>
  <si>
    <t>4. パラメータデータの設定（シナリオ記述）</t>
  </si>
  <si>
    <t>パラメータ定義をしたら、</t>
  </si>
  <si>
    <t>次はそのパラメータに 実際の値（シナリオ）を与える。</t>
  </si>
  <si>
    <t>通常は #p_patern と #set を使う。</t>
  </si>
  <si>
    <t>値1</t>
  </si>
  <si>
    <t>値2</t>
  </si>
  <si>
    <t>値3</t>
  </si>
  <si>
    <t>・a_add</t>
  </si>
  <si>
    <t>・a_data</t>
  </si>
  <si>
    <t>・a_tim</t>
  </si>
  <si>
    <t>#var で定義した 順番通りに値を並べる必要がある</t>
  </si>
  <si>
    <t>これらが 1トランザクションとしてキューに登録される</t>
  </si>
  <si>
    <t>5. 動作イメージ（内部構造）</t>
  </si>
  <si>
    <t>●キュー構造（リングバッファ）</t>
    <phoneticPr fontId="1"/>
  </si>
  <si>
    <t>a_parm[0] = {a_add, a_data, a_tim}</t>
  </si>
  <si>
    <t>a_parm[1] = {a_add, a_data, a_tim}</t>
  </si>
  <si>
    <t>●FIFO として使用する場合</t>
    <phoneticPr fontId="1"/>
  </si>
  <si>
    <t>a_parm_fifo_wr() → 末尾に追加</t>
  </si>
  <si>
    <t>a_parm_fifo_rd() → 先頭から読み出し</t>
  </si>
  <si>
    <t>テストベンチ用パラメータ／FIFO（#patern）</t>
    <rPh sb="6" eb="7">
      <t>ヨウ</t>
    </rPh>
    <phoneticPr fontId="1"/>
  </si>
  <si>
    <t>6. arymax の注意点</t>
  </si>
  <si>
    <t>500件を超えて #set を記述すると エラー</t>
  </si>
  <si>
    <t>大規模シナリオでは適切な値に設定すること</t>
  </si>
  <si>
    <t>#patern name</t>
  </si>
  <si>
    <t>終了前タスク</t>
  </si>
  <si>
    <t>#endrtn task</t>
  </si>
  <si>
    <t>最大数</t>
  </si>
  <si>
    <t>#arymax N</t>
  </si>
  <si>
    <t>項目定義</t>
  </si>
  <si>
    <t>#var name bit</t>
  </si>
  <si>
    <t>get / put / push / pop / clr / fifo_rd / fifo_wr</t>
  </si>
  <si>
    <t>シナリオ記述</t>
  </si>
  <si>
    <t>#p_patern + #set</t>
  </si>
  <si>
    <t>#var の順番で値を並べる</t>
  </si>
  <si>
    <t>512</t>
  </si>
  <si>
    <t>512</t>
    <phoneticPr fontId="1"/>
  </si>
  <si>
    <t>0</t>
  </si>
  <si>
    <t>・・・・</t>
    <phoneticPr fontId="1"/>
  </si>
  <si>
    <t>←パラメータは変数名、ビット幅を定義する。</t>
  </si>
  <si>
    <t>←ローカル変数は変数名、ビット幅、初期値を定義する。初期値はスタートを呼ぶたびにセットされる。</t>
  </si>
  <si>
    <t>←使用する時は、@Lローカル変数名、@Pパラメータ変数名で使用する。</t>
  </si>
  <si>
    <t>▲</t>
    <phoneticPr fontId="1"/>
  </si>
  <si>
    <t>周期タスク（#task / #taskn / #taskx）</t>
  </si>
  <si>
    <t>1. 周期タスクとは</t>
  </si>
  <si>
    <t>周期タスクは 決められたサイクル数だけ繰り返し実行するタスク。</t>
  </si>
  <si>
    <t>・繰り返し波形生成に便利</t>
  </si>
  <si>
    <t>・クロックの立ち上がり／立下り／両エッジで動作可能</t>
  </si>
  <si>
    <t>・タスク起動は タスク名_start</t>
  </si>
  <si>
    <t>・タスク停止は タスク名_stop</t>
  </si>
  <si>
    <t>繰り返し回数</t>
  </si>
  <si>
    <t>実行間隔</t>
  </si>
  <si>
    <t>繰り返し繰り返し回数</t>
  </si>
  <si>
    <t>●動作エッジの違い</t>
    <phoneticPr fontId="1"/>
  </si>
  <si>
    <t>動作タイミング</t>
  </si>
  <si>
    <t>クロック立ち上がり</t>
  </si>
  <si>
    <t>クロック立下り</t>
  </si>
  <si>
    <t>両エッジ</t>
  </si>
  <si>
    <t>3. 自動生成されるカウンタ</t>
  </si>
  <si>
    <t>周期タスクを定義すると、以下のカウンタが自動生成される：</t>
  </si>
  <si>
    <t>カウンタ名</t>
  </si>
  <si>
    <t>task_a_tcnt</t>
  </si>
  <si>
    <t>タスクの繰り返しカウンタ（周期を刻む）</t>
  </si>
  <si>
    <t>task_a_ccnt</t>
  </si>
  <si>
    <t>繰り返しの繰り返しカウンタ（多重ループ用）</t>
  </si>
  <si>
    <t>4. 基本例（1クロック毎に実行）</t>
  </si>
  <si>
    <t>txo</t>
  </si>
  <si>
    <t>8/512</t>
  </si>
  <si>
    <t>task_a</t>
  </si>
  <si>
    <t>txo = mem[task_a_tcnt];</t>
  </si>
  <si>
    <t>5. タスクの起動／停止</t>
  </si>
  <si>
    <t>←起動</t>
    <phoneticPr fontId="1"/>
  </si>
  <si>
    <t>←停止</t>
    <phoneticPr fontId="1"/>
  </si>
  <si>
    <t>●繰り返し回数が 0 の場合</t>
    <phoneticPr fontId="1"/>
  </si>
  <si>
    <t>無限ループ（内部では 2^32 回で停止）</t>
    <phoneticPr fontId="1"/>
  </si>
  <si>
    <t>6. 実行間隔の指定（2クロック毎など）</t>
  </si>
  <si>
    <t>7. 繰り返しの繰り返し（多重ループ）</t>
  </si>
  <si>
    <t>4/512</t>
  </si>
  <si>
    <t>txo = mem[task_a_ccnt][4-task_a_tcnt-1];</t>
  </si>
  <si>
    <t>8. パラメータ／ローカル変数の使用</t>
  </si>
  <si>
    <t>●呼び出し</t>
    <phoneticPr fontId="1"/>
  </si>
  <si>
    <t>9. 繰り返し回数をパラメータで指定</t>
  </si>
  <si>
    <t>10. 周期タスク内でのスケジューリング（#tchg）</t>
  </si>
  <si>
    <t>周期タスクでも #chg と同様に スケジューリングコマンドが使える。</t>
  </si>
  <si>
    <t>基点が 3 → 6 とずれていく</t>
    <phoneticPr fontId="1"/>
  </si>
  <si>
    <t>12. 基点に加算する（#tdiffplus）</t>
  </si>
  <si>
    <t>11. 基点をずらす（#tdiff）</t>
    <phoneticPr fontId="1"/>
  </si>
  <si>
    <t>「11. 基点をずらす（#tdiff）」と同じ波形</t>
    <rPh sb="21" eb="22">
      <t>オナ</t>
    </rPh>
    <rPh sb="23" eb="25">
      <t>ハケイ</t>
    </rPh>
    <phoneticPr fontId="1"/>
  </si>
  <si>
    <t>13. まとめ</t>
  </si>
  <si>
    <t>周期タスク</t>
  </si>
  <si>
    <t>クロックに同期して繰り返し実行</t>
  </si>
  <si>
    <t>動作エッジ</t>
  </si>
  <si>
    <t>#task（立上り）/#taskn（立下り）/#taskx（両エッジ）</t>
  </si>
  <si>
    <t>起動／停止</t>
  </si>
  <si>
    <t>task_a_start / task_a_stop</t>
  </si>
  <si>
    <t>カウンタ</t>
  </si>
  <si>
    <t>tcnt（周期）/ ccnt（多重ループ）</t>
  </si>
  <si>
    <t>任意のクロック間隔で実行可能</t>
  </si>
  <si>
    <t>多重ループ</t>
  </si>
  <si>
    <t>繰り返しの繰り返し（ccnt）</t>
  </si>
  <si>
    <t>#tchg / #tdiff / #tdiffplus</t>
  </si>
  <si>
    <t>#inf_enable</t>
    <phoneticPr fontId="1"/>
  </si>
  <si>
    <t>ACHS_en</t>
    <phoneticPr fontId="1"/>
  </si>
  <si>
    <t>#inf_recv</t>
    <phoneticPr fontId="1"/>
  </si>
  <si>
    <t>BCHR_en</t>
    <phoneticPr fontId="1"/>
  </si>
  <si>
    <t>BCHS_en</t>
    <phoneticPr fontId="1"/>
  </si>
  <si>
    <t>ACHR_en</t>
    <phoneticPr fontId="1"/>
  </si>
  <si>
    <t>start</t>
    <phoneticPr fontId="1"/>
  </si>
  <si>
    <t>$$display("DT0=%x DT1=%x",r_DT0,r_DT1);</t>
    <phoneticPr fontId="1"/>
  </si>
  <si>
    <t>テストベンチ用モジュール間通信インターフェース</t>
    <rPh sb="6" eb="7">
      <t>ヨウ</t>
    </rPh>
    <phoneticPr fontId="1"/>
  </si>
  <si>
    <t>1. テストモジュール間通信インターフェースとは</t>
  </si>
  <si>
    <t>テストベンチ内で 複数のテストモジュール間でデータ通信を行うための仕組み。</t>
  </si>
  <si>
    <t>・モジュールごとにクロックが異なっていても通信可能</t>
  </si>
  <si>
    <t>・送信側（send）と受信側（recv）を明確に定義</t>
  </si>
  <si>
    <t>・受信側には FIFO が自動生成される</t>
  </si>
  <si>
    <t>・送信可能かどうかを示す enable 信号も自動生成</t>
  </si>
  <si>
    <t>2. インターフェース定義コマンド</t>
  </si>
  <si>
    <t>役割</t>
  </si>
  <si>
    <t>送信側インターフェース定義</t>
  </si>
  <si>
    <t>受信側インターフェース定義</t>
  </si>
  <si>
    <t>送信可能かどうかを示す enable 信号</t>
  </si>
  <si>
    <t>インターフェース内の信号定義（名前・ビット幅）</t>
  </si>
  <si>
    <t>3. インターフェース定義例</t>
  </si>
  <si>
    <t>●テストモジュール A（送信：ACHS、受信：ACHR）</t>
    <phoneticPr fontId="1"/>
  </si>
  <si>
    <t>●テストモジュール B（送信：BCHS、受信：BCHR）</t>
    <phoneticPr fontId="1"/>
  </si>
  <si>
    <t>●自動生成されるポート</t>
    <phoneticPr fontId="1"/>
  </si>
  <si>
    <t>上記定義を行うと、各モジュールに以下が自動生成される：</t>
  </si>
  <si>
    <t>・送信側：送信データポート（o_DT0, o_DT1…）</t>
  </si>
  <si>
    <t>・受信側：受信データポート（i_DT0, i_DT1…）</t>
  </si>
  <si>
    <t>・enable 信号（送信可能かどうか）</t>
  </si>
  <si>
    <t>・受信側には 指定数の FIFO が自動生成される</t>
  </si>
  <si>
    <t>●例：#inf_recv ACHR 20</t>
  </si>
  <si>
    <t>→ 受信側に 20個分の FIFO が生成される</t>
  </si>
  <si>
    <t>→ 送信側が受信しなくても FIFO にデータが溜まる</t>
  </si>
  <si>
    <t>●自動生成されるタスク</t>
    <phoneticPr fontId="1"/>
  </si>
  <si>
    <t>インターフェース</t>
  </si>
  <si>
    <t>#inf_send ACHS</t>
  </si>
  <si>
    <t>ACHS_send()</t>
  </si>
  <si>
    <t>ACHS_send_check(result)</t>
  </si>
  <si>
    <t>#inf_recv ACHR</t>
  </si>
  <si>
    <t>ACHR_recv(valid, r_DT0, r_DT1)</t>
  </si>
  <si>
    <t>6. 送信／受信の使用例</t>
  </si>
  <si>
    <t>←データ送信可能？</t>
    <phoneticPr fontId="1"/>
  </si>
  <si>
    <t>←データ送信</t>
    <phoneticPr fontId="1"/>
  </si>
  <si>
    <t>←データ受信</t>
    <rPh sb="4" eb="6">
      <t>ジュシン</t>
    </rPh>
    <phoneticPr fontId="1"/>
  </si>
  <si>
    <t>←データを受信した時、valid=1になる。</t>
    <phoneticPr fontId="1"/>
  </si>
  <si>
    <t>7. 動作の流れ（送信→受信）</t>
  </si>
  <si>
    <t>1.送信側</t>
  </si>
  <si>
    <t xml:space="preserve">ACHS_send_check(s_valid)  </t>
  </si>
  <si>
    <t>→ enable が 1 なら送信可能</t>
  </si>
  <si>
    <t xml:space="preserve">ACHS_send(100,200)  </t>
  </si>
  <si>
    <t>→ データ送信</t>
  </si>
  <si>
    <t>2.受信側</t>
  </si>
  <si>
    <t xml:space="preserve">ACHR_recv(valid,r_DT0,r_DT1)  </t>
  </si>
  <si>
    <t>→ FIFO からデータを取り出す</t>
  </si>
  <si>
    <t>→ valid=1 なら受信成功</t>
  </si>
  <si>
    <t>3.FIFO の動作</t>
  </si>
  <si>
    <t>受信側が読み出さなくても FIFO に溜まる</t>
  </si>
  <si>
    <t>FIFO サイズは #inf_recv の第2引数で指定</t>
  </si>
  <si>
    <t>8. 注意点</t>
  </si>
  <si>
    <t>送信側と受信側のクロックが異なっていても通信可能</t>
  </si>
  <si>
    <t>FIFO があるため、受信側が遅れてもデータが失われない</t>
  </si>
  <si>
    <t>enable 信号は必ずチェックすること</t>
  </si>
  <si>
    <t>送信タスクと受信タスクは自動生成されるため、ユーザは記述に集中できる</t>
  </si>
  <si>
    <t>インターフェース定義</t>
  </si>
  <si>
    <t>#inf_send / #inf_recv / #inf_enable</t>
  </si>
  <si>
    <t>#inf 信号名 ビット幅</t>
  </si>
  <si>
    <t>FIFO</t>
  </si>
  <si>
    <t>#inf_recv の第2引数で深さ指定</t>
  </si>
  <si>
    <t>send / send_check / recv</t>
  </si>
  <si>
    <t>送信</t>
  </si>
  <si>
    <t>send_check → send</t>
  </si>
  <si>
    <t>受信</t>
  </si>
  <si>
    <t>recv(valid, data…)</t>
  </si>
  <si>
    <t>クロック差</t>
  </si>
  <si>
    <t>異なるクロックでも通信可能</t>
  </si>
  <si>
    <t>テストモジュール間通信を簡潔に記述できる</t>
  </si>
  <si>
    <t>ファンクションカバレッジ（#coverage）</t>
  </si>
  <si>
    <t>1. ファンクションカバレッジとは</t>
  </si>
  <si>
    <t>ファンクションカバレッジは、</t>
  </si>
  <si>
    <t>ターゲット回路内の主要信号が検証中に動作したかどうかを確認するための機能。</t>
  </si>
  <si>
    <t>・信号が 1回でも動作したか？</t>
  </si>
  <si>
    <t>・他の信号と 一致したケースが存在したか？</t>
  </si>
  <si>
    <t>・特定の条件式が 検証中に成立したか？</t>
  </si>
  <si>
    <t>これらを自動的に記録し、</t>
  </si>
  <si>
    <t>検証終了時に カバレッジ結果を表示できる。</t>
  </si>
  <si>
    <t>●記述場所の注意</t>
    <phoneticPr fontId="1"/>
  </si>
  <si>
    <t>テストモジュール（A/B）に記述する</t>
  </si>
  <si>
    <t>または 別の検証専用モジュールに記述してもよい</t>
  </si>
  <si>
    <t xml:space="preserve">ターゲット回路（DUT）には絶対に記述しないこと  </t>
  </si>
  <si>
    <t>→ 合成不可になるため</t>
  </si>
  <si>
    <t>クロック：カバレッジ評価を行うクロック</t>
  </si>
  <si>
    <t>式：監視したい信号または論理式</t>
  </si>
  <si>
    <t>3. 単純な信号のカバレッジ</t>
  </si>
  <si>
    <t>ターゲット回路内の信号を直接指定する例：</t>
  </si>
  <si>
    <t>i_top.target.aaa</t>
  </si>
  <si>
    <t>i_top.target.bbb</t>
  </si>
  <si>
    <t>i_top.target.ccc</t>
  </si>
  <si>
    <t>4. ワイヤ経由で記述する方法</t>
  </si>
  <si>
    <t>一度ワイヤに接続してからカバレッジを書くこともできる。</t>
  </si>
  <si>
    <t>bbb</t>
  </si>
  <si>
    <t>ccc</t>
  </si>
  <si>
    <t>5. 論理式のカバレッジ（信号一致など）</t>
    <phoneticPr fontId="1"/>
  </si>
  <si>
    <t>aaa &amp; bbb</t>
  </si>
  <si>
    <t>式は Verilog の論理式をそのまま記述できる</t>
  </si>
  <si>
    <t>AND / OR / 比較式など自由に使える</t>
  </si>
  <si>
    <t>6. カバレッジで使用するタスク</t>
  </si>
  <si>
    <t>カバレッジ機能を開始／結果表示するためのタスクが自動生成される。</t>
  </si>
  <si>
    <t>coverage_start;</t>
  </si>
  <si>
    <t>カバレッジ開始</t>
  </si>
  <si>
    <t>coverage_result(mode);</t>
  </si>
  <si>
    <t>カバレッジ結果表示</t>
  </si>
  <si>
    <t>●coverage_result の mode 指定</t>
    <phoneticPr fontId="1"/>
  </si>
  <si>
    <t>mode</t>
  </si>
  <si>
    <t>結果のみ表示（簡易）</t>
  </si>
  <si>
    <t>ミスした箇所のみ詳細表示</t>
  </si>
  <si>
    <t>すべての詳細を表示（完全版）</t>
  </si>
  <si>
    <t>●使用例</t>
    <rPh sb="1" eb="4">
      <t>シヨウレイ</t>
    </rPh>
    <phoneticPr fontId="1"/>
  </si>
  <si>
    <t>initial begin</t>
  </si>
  <si>
    <t xml:space="preserve">    coverage_start;     // カバレッジ開始</t>
  </si>
  <si>
    <t xml:space="preserve">    #100000;</t>
  </si>
  <si>
    <t xml:space="preserve">    coverage_result(2); // 全詳細表示</t>
  </si>
  <si>
    <t>9. 注意点</t>
  </si>
  <si>
    <t>DUT（ターゲット回路）に記述すると 合成不可</t>
  </si>
  <si>
    <t>カバレッジは テストベンチ側でのみ記述する</t>
  </si>
  <si>
    <t>論理式は自由に記述可能</t>
  </si>
  <si>
    <t>クロックは必ず指定する</t>
  </si>
  <si>
    <t>coverage_start を呼ばないとカバレッジが開始されない</t>
  </si>
  <si>
    <t>10. まとめ</t>
  </si>
  <si>
    <t>#coverage clk 式</t>
  </si>
  <si>
    <t>記述場所</t>
  </si>
  <si>
    <t>テストモジュール or 検証専用モジュール</t>
  </si>
  <si>
    <t>DUTへの記述</t>
  </si>
  <si>
    <t>禁止（合成不可）</t>
  </si>
  <si>
    <t>対象</t>
  </si>
  <si>
    <t>信号・論理式</t>
  </si>
  <si>
    <t>タスク</t>
  </si>
  <si>
    <t>coverage_start / coverage_result</t>
  </si>
  <si>
    <t>0=簡易、1=ミス詳細、2=全詳細</t>
  </si>
  <si>
    <t>応用</t>
  </si>
  <si>
    <t>信号一致、条件成立の検証</t>
  </si>
  <si>
    <t>←カウントアップ(ブロッキング代入すること)</t>
    <phoneticPr fontId="1"/>
  </si>
  <si>
    <t>ファイルリード（#readmemh / #readvar）</t>
  </si>
  <si>
    <t>1. ファイルリードとは</t>
  </si>
  <si>
    <t>CSV?Verilog Maker のファイルリード機能は、</t>
  </si>
  <si>
    <t>・$readmemh で読み込める ROM 配列を自動生成</t>
  </si>
  <si>
    <t>・ROM の 1 行を複数の変数に分解して割り当て</t>
  </si>
  <si>
    <t>・テストベンチで外部ファイルを扱うための仕組み</t>
  </si>
  <si>
    <t>を提供する。</t>
  </si>
  <si>
    <t>●ROM 読み込み定義</t>
    <phoneticPr fontId="1"/>
  </si>
  <si>
    <t>●ROM 1 行の分解定義</t>
    <phoneticPr fontId="1"/>
  </si>
  <si>
    <t>バイト数は 8bit × バイト数 のビット幅になる</t>
  </si>
  <si>
    <t>複数の #readvar を並べると、ROM の 1 行を連結して割り当てる</t>
  </si>
  <si>
    <t>ポインタ名</t>
  </si>
  <si>
    <t>配列数</t>
  </si>
  <si>
    <t>ファイル名</t>
  </si>
  <si>
    <t>変数名</t>
  </si>
  <si>
    <t>バイト数</t>
  </si>
  <si>
    <t>3. 例</t>
  </si>
  <si>
    <t>ptr</t>
  </si>
  <si>
    <t>100</t>
  </si>
  <si>
    <t>aaa.hex</t>
  </si>
  <si>
    <t>ww0</t>
  </si>
  <si>
    <t>ww1</t>
  </si>
  <si>
    <t>ww2</t>
  </si>
  <si>
    <t>ww3</t>
  </si>
  <si>
    <t>ww4</t>
  </si>
  <si>
    <t>ww5</t>
  </si>
  <si>
    <t>4. 生成される Verilog</t>
  </si>
  <si>
    <t>reg [199:0] FILE_ROM_00000[0:99];</t>
  </si>
  <si>
    <t>●ROM 配列</t>
    <phoneticPr fontId="1"/>
  </si>
  <si>
    <t>1 行の総ビット数 = (1 + 5 + 2 + 8 + 8 + 1) バイト × 8bit = 25 バイト × 8bit = 200bit → [199:0]</t>
  </si>
  <si>
    <t>●ポインタ</t>
    <phoneticPr fontId="1"/>
  </si>
  <si>
    <t>reg [31:0] ptr;</t>
  </si>
  <si>
    <t>●各変数（readvar）</t>
    <phoneticPr fontId="1"/>
  </si>
  <si>
    <t>wire [7:0]   ww0;</t>
  </si>
  <si>
    <t>wire [39:0]  ww1;</t>
  </si>
  <si>
    <t>wire [15:0]  ww2;</t>
  </si>
  <si>
    <t>wire [63:0]  ww3;</t>
  </si>
  <si>
    <t>wire [63:0]  ww4;</t>
  </si>
  <si>
    <t>wire [7:0]   ww5;</t>
  </si>
  <si>
    <t>●初期読み込み</t>
    <phoneticPr fontId="1"/>
  </si>
  <si>
    <t xml:space="preserve">    ptr = 0;</t>
  </si>
  <si>
    <t>●ROM の 1 行を変数に割り当て</t>
    <phoneticPr fontId="1"/>
  </si>
  <si>
    <t>assign { ww0, ww1, ww2, ww3, ww4, ww5 } = FILE_ROM_00000[ptr];</t>
  </si>
  <si>
    <t>5. 使用例</t>
    <phoneticPr fontId="1"/>
  </si>
  <si>
    <t>6. 動作の流れ</t>
  </si>
  <si>
    <t>1.aaa.hex を ROM に読み込む</t>
  </si>
  <si>
    <t>2.ptr が指す行を {ww0, ww1, …} に展開</t>
  </si>
  <si>
    <t>3.各 wwX を #chg で波形として出力</t>
  </si>
  <si>
    <t>4.ptr をインクリメントして次の行を読む</t>
  </si>
  <si>
    <t>5.idle → wait → idle のループで連続読み出し</t>
  </si>
  <si>
    <t>7. 注意点</t>
  </si>
  <si>
    <t>ROM の 1 行のビット幅は #readvar の合計バイト数 × 8bit</t>
  </si>
  <si>
    <t>ファイルは $readmemh 形式（HEX）である必要がある</t>
  </si>
  <si>
    <t>ptr が範囲外になると未定義値になるため注意</t>
  </si>
  <si>
    <t>3．条件分岐（#if / #elseif / #else / #endif）</t>
    <phoneticPr fontId="1"/>
  </si>
  <si>
    <t>概要</t>
  </si>
  <si>
    <t>エラーメッセージ</t>
  </si>
  <si>
    <t>直書き</t>
  </si>
  <si>
    <t>レジスタのANDOR化</t>
  </si>
  <si>
    <t>継続的代入</t>
  </si>
  <si>
    <t>ワイヤレジスタ</t>
  </si>
  <si>
    <t>メモリ定義</t>
  </si>
  <si>
    <t>レジスタ動作の追加</t>
  </si>
  <si>
    <t>パイプライン</t>
  </si>
  <si>
    <t>ステートマシン(テストベンチ用)</t>
  </si>
  <si>
    <t>スケジューリングコマンド(テストベンチ用)</t>
  </si>
  <si>
    <t>パラメータ_FIFO(テストベンチ用)</t>
  </si>
  <si>
    <t>周期タスク(テストベンチ用)</t>
  </si>
  <si>
    <t>モジュール間通信(テストベンチ用)</t>
  </si>
  <si>
    <t>ファンクションカバレッジ</t>
  </si>
  <si>
    <t>ファイルリード(テストベンチ用)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</si>
</sst>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6"/>
      <name val="ＭＳ Ｐゴシック"/>
      <family val="3"/>
      <charset val="128"/>
    </font>
    <font>
      <b/>
      <sz val="14"/>
      <name val="Meiryo UI"/>
      <family val="3"/>
      <charset val="128"/>
    </font>
    <font>
      <sz val="11"/>
      <name val="Meiryo UI"/>
      <family val="3"/>
      <charset val="128"/>
    </font>
    <font>
      <b/>
      <sz val="11"/>
      <name val="Meiryo UI"/>
      <family val="3"/>
      <charset val="128"/>
    </font>
    <font>
      <sz val="11"/>
      <name val="ＭＳ Ｐ明朝"/>
      <family val="1"/>
      <charset val="128"/>
    </font>
    <font>
      <u/>
      <sz val="11"/>
      <color indexed="12"/>
      <name val="ＭＳ Ｐゴシック"/>
      <family val="3"/>
      <charset val="128"/>
    </font>
    <font>
      <b/>
      <sz val="12"/>
      <name val="Meiryo UI"/>
      <family val="3"/>
      <charset val="128"/>
    </font>
    <font>
      <u/>
      <sz val="11"/>
      <color indexed="12"/>
      <name val="Meiryo UI"/>
      <family val="3"/>
      <charset val="128"/>
    </font>
    <font>
      <sz val="11"/>
      <color rgb="FF000000"/>
      <name val="Meiryo UI"/>
      <family val="3"/>
      <charset val="128"/>
    </font>
    <font>
      <sz val="12"/>
      <name val="Meiryo UI"/>
      <family val="3"/>
      <charset val="128"/>
    </font>
    <font>
      <b/>
      <sz val="11"/>
      <color indexed="10"/>
      <name val="Meiryo UI"/>
      <family val="3"/>
      <charset val="128"/>
    </font>
    <font>
      <b/>
      <sz val="11"/>
      <color rgb="FFFF0000"/>
      <name val="Meiryo UI"/>
      <family val="3"/>
      <charset val="128"/>
    </font>
    <font>
      <sz val="11"/>
      <color indexed="10"/>
      <name val="Meiryo UI"/>
      <family val="3"/>
      <charset val="128"/>
    </font>
    <font>
      <sz val="11"/>
      <color rgb="FFFF0000"/>
      <name val="Meiryo UI"/>
      <family val="3"/>
      <charset val="128"/>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0" fontId="5" fillId="0" borderId="0"/>
    <xf numFmtId="0" fontId="6" fillId="0" borderId="0" applyNumberFormat="0" applyFill="0" applyBorder="0" applyAlignment="0" applyProtection="0">
      <alignment vertical="top"/>
      <protection locked="0"/>
    </xf>
  </cellStyleXfs>
  <cellXfs count="96">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left"/>
    </xf>
    <xf numFmtId="0" fontId="4" fillId="0" borderId="0" xfId="0" applyFont="1" applyAlignment="1">
      <alignment horizontal="left"/>
    </xf>
    <xf numFmtId="0" fontId="3" fillId="0" borderId="1" xfId="0" applyFont="1" applyBorder="1" applyAlignment="1">
      <alignment horizontal="left"/>
    </xf>
    <xf numFmtId="0" fontId="3" fillId="0" borderId="1" xfId="0" applyFont="1" applyBorder="1"/>
    <xf numFmtId="49" fontId="3" fillId="0" borderId="1" xfId="0" applyNumberFormat="1" applyFont="1" applyBorder="1" applyAlignment="1">
      <alignment horizontal="left"/>
    </xf>
    <xf numFmtId="49" fontId="3" fillId="0" borderId="0" xfId="0" applyNumberFormat="1" applyFont="1"/>
    <xf numFmtId="0" fontId="3" fillId="0" borderId="1" xfId="0" applyFont="1" applyBorder="1" applyAlignment="1">
      <alignment horizontal="center"/>
    </xf>
    <xf numFmtId="49" fontId="3" fillId="0" borderId="1" xfId="0" applyNumberFormat="1" applyFont="1" applyBorder="1"/>
    <xf numFmtId="49" fontId="3" fillId="2" borderId="1" xfId="0" applyNumberFormat="1" applyFont="1" applyFill="1" applyBorder="1"/>
    <xf numFmtId="49" fontId="3" fillId="2" borderId="1" xfId="0" applyNumberFormat="1" applyFont="1" applyFill="1" applyBorder="1" applyAlignment="1">
      <alignment horizontal="left"/>
    </xf>
    <xf numFmtId="0" fontId="3" fillId="0" borderId="1" xfId="0" applyFont="1" applyBorder="1" applyAlignment="1">
      <alignment horizontal="left" vertical="top"/>
    </xf>
    <xf numFmtId="0" fontId="3" fillId="3" borderId="1" xfId="0" applyFont="1" applyFill="1" applyBorder="1" applyAlignment="1">
      <alignment horizontal="left"/>
    </xf>
    <xf numFmtId="49" fontId="3" fillId="3" borderId="1" xfId="0" applyNumberFormat="1" applyFont="1" applyFill="1" applyBorder="1" applyAlignment="1">
      <alignment horizontal="left"/>
    </xf>
    <xf numFmtId="0" fontId="3" fillId="3" borderId="1" xfId="0" applyFont="1" applyFill="1" applyBorder="1"/>
    <xf numFmtId="0" fontId="3" fillId="2" borderId="1" xfId="0" applyFont="1" applyFill="1" applyBorder="1" applyAlignment="1">
      <alignment horizontal="left"/>
    </xf>
    <xf numFmtId="0" fontId="3" fillId="2" borderId="1" xfId="0" applyFont="1" applyFill="1" applyBorder="1"/>
    <xf numFmtId="49" fontId="3" fillId="0" borderId="0" xfId="0" applyNumberFormat="1" applyFont="1" applyAlignment="1">
      <alignment horizontal="left"/>
    </xf>
    <xf numFmtId="49" fontId="3" fillId="0" borderId="1" xfId="1" applyNumberFormat="1" applyFont="1" applyBorder="1" applyAlignment="1">
      <alignment horizontal="left" vertical="top"/>
    </xf>
    <xf numFmtId="49" fontId="3" fillId="3" borderId="1" xfId="1" applyNumberFormat="1" applyFont="1" applyFill="1" applyBorder="1" applyAlignment="1">
      <alignment horizontal="left" vertical="top"/>
    </xf>
    <xf numFmtId="49" fontId="3" fillId="4" borderId="1" xfId="0" applyNumberFormat="1" applyFont="1" applyFill="1" applyBorder="1" applyAlignment="1">
      <alignment horizontal="left"/>
    </xf>
    <xf numFmtId="0" fontId="3" fillId="4" borderId="1" xfId="0" applyFont="1" applyFill="1" applyBorder="1"/>
    <xf numFmtId="49" fontId="3" fillId="0" borderId="1" xfId="0" quotePrefix="1" applyNumberFormat="1" applyFont="1" applyBorder="1"/>
    <xf numFmtId="0" fontId="9" fillId="0" borderId="0" xfId="0" applyFont="1" applyAlignment="1">
      <alignment horizontal="left" vertical="center" readingOrder="1"/>
    </xf>
    <xf numFmtId="0" fontId="3" fillId="0" borderId="2" xfId="0" applyFont="1" applyBorder="1" applyAlignment="1">
      <alignment horizontal="left"/>
    </xf>
    <xf numFmtId="0" fontId="2" fillId="0" borderId="0" xfId="0" applyFont="1" applyAlignment="1">
      <alignment horizontal="left"/>
    </xf>
    <xf numFmtId="0" fontId="7" fillId="0" borderId="0" xfId="0" applyFont="1" applyAlignment="1">
      <alignment horizontal="left"/>
    </xf>
    <xf numFmtId="49" fontId="4" fillId="0" borderId="0" xfId="0" applyNumberFormat="1" applyFont="1" applyAlignment="1">
      <alignment horizontal="left"/>
    </xf>
    <xf numFmtId="0" fontId="3" fillId="5" borderId="1" xfId="0" applyFont="1" applyFill="1" applyBorder="1" applyAlignment="1">
      <alignment horizontal="left"/>
    </xf>
    <xf numFmtId="0" fontId="8" fillId="0" borderId="0" xfId="2" applyFont="1" applyFill="1" applyBorder="1" applyAlignment="1" applyProtection="1">
      <alignment horizontal="left" vertical="top"/>
    </xf>
    <xf numFmtId="0" fontId="3" fillId="0" borderId="5" xfId="0" applyFont="1" applyBorder="1" applyAlignment="1">
      <alignment horizontal="left"/>
    </xf>
    <xf numFmtId="0" fontId="3" fillId="0" borderId="8" xfId="0" applyFont="1" applyBorder="1" applyAlignment="1">
      <alignment horizontal="left"/>
    </xf>
    <xf numFmtId="0" fontId="10" fillId="0" borderId="0" xfId="0" applyFont="1" applyAlignment="1">
      <alignment horizontal="left"/>
    </xf>
    <xf numFmtId="0" fontId="3" fillId="0" borderId="0" xfId="2" applyFont="1" applyFill="1" applyBorder="1" applyAlignment="1" applyProtection="1">
      <alignment horizontal="left" vertical="top"/>
    </xf>
    <xf numFmtId="0" fontId="9" fillId="0" borderId="1" xfId="0" applyFont="1" applyBorder="1" applyAlignment="1">
      <alignment horizontal="left" vertical="center" readingOrder="1"/>
    </xf>
    <xf numFmtId="0" fontId="3" fillId="0" borderId="11" xfId="0" applyFont="1" applyBorder="1" applyAlignment="1">
      <alignment horizontal="left"/>
    </xf>
    <xf numFmtId="0" fontId="3" fillId="0" borderId="12" xfId="0" applyFont="1" applyBorder="1" applyAlignment="1">
      <alignment horizontal="left"/>
    </xf>
    <xf numFmtId="0" fontId="3" fillId="6" borderId="1" xfId="0" applyFont="1" applyFill="1" applyBorder="1" applyAlignment="1">
      <alignment horizontal="left"/>
    </xf>
    <xf numFmtId="0" fontId="3" fillId="0" borderId="12" xfId="0" applyFont="1" applyBorder="1"/>
    <xf numFmtId="0" fontId="3" fillId="8" borderId="1" xfId="0" applyFont="1" applyFill="1" applyBorder="1" applyAlignment="1">
      <alignment horizontal="left"/>
    </xf>
    <xf numFmtId="49" fontId="3" fillId="3" borderId="1" xfId="0" applyNumberFormat="1" applyFont="1" applyFill="1" applyBorder="1"/>
    <xf numFmtId="0" fontId="12" fillId="0" borderId="1" xfId="0" applyFont="1" applyBorder="1"/>
    <xf numFmtId="0" fontId="12" fillId="0" borderId="1" xfId="0" applyFont="1" applyBorder="1" applyAlignment="1">
      <alignment horizontal="left"/>
    </xf>
    <xf numFmtId="0" fontId="13" fillId="0" borderId="1" xfId="0" applyFont="1" applyBorder="1" applyAlignment="1">
      <alignment horizontal="left"/>
    </xf>
    <xf numFmtId="49" fontId="11" fillId="0" borderId="0" xfId="0" applyNumberFormat="1" applyFont="1"/>
    <xf numFmtId="0" fontId="11" fillId="0" borderId="1" xfId="0" applyFont="1" applyBorder="1"/>
    <xf numFmtId="49" fontId="11" fillId="0" borderId="1" xfId="0" applyNumberFormat="1" applyFont="1" applyBorder="1"/>
    <xf numFmtId="0" fontId="4" fillId="0" borderId="3" xfId="0" applyFont="1" applyBorder="1" applyAlignment="1">
      <alignment horizontal="left"/>
    </xf>
    <xf numFmtId="0" fontId="3" fillId="0" borderId="4" xfId="0" applyFont="1" applyBorder="1" applyAlignment="1">
      <alignment horizontal="left"/>
    </xf>
    <xf numFmtId="0" fontId="3" fillId="0" borderId="9" xfId="0" applyFont="1" applyBorder="1"/>
    <xf numFmtId="0" fontId="3" fillId="0" borderId="17" xfId="0" applyFont="1" applyBorder="1"/>
    <xf numFmtId="0" fontId="3" fillId="0" borderId="10" xfId="0" applyFont="1" applyBorder="1"/>
    <xf numFmtId="0" fontId="3" fillId="0" borderId="6" xfId="0" applyFont="1" applyBorder="1" applyAlignment="1">
      <alignment horizontal="left"/>
    </xf>
    <xf numFmtId="0" fontId="3" fillId="0" borderId="7" xfId="0" applyFont="1" applyBorder="1" applyAlignment="1">
      <alignment horizontal="left"/>
    </xf>
    <xf numFmtId="0" fontId="14" fillId="0" borderId="0" xfId="0" applyFont="1" applyAlignment="1">
      <alignment horizontal="left"/>
    </xf>
    <xf numFmtId="49" fontId="3" fillId="0" borderId="7" xfId="0" applyNumberFormat="1" applyFont="1" applyBorder="1"/>
    <xf numFmtId="49" fontId="3" fillId="0" borderId="8" xfId="0" applyNumberFormat="1" applyFont="1" applyBorder="1"/>
    <xf numFmtId="49" fontId="3" fillId="0" borderId="6" xfId="0" applyNumberFormat="1" applyFont="1" applyBorder="1"/>
    <xf numFmtId="49" fontId="4" fillId="2" borderId="1" xfId="0" applyNumberFormat="1" applyFont="1" applyFill="1" applyBorder="1" applyAlignment="1">
      <alignment horizontal="left"/>
    </xf>
    <xf numFmtId="49" fontId="3" fillId="8" borderId="1" xfId="0" applyNumberFormat="1" applyFont="1" applyFill="1" applyBorder="1"/>
    <xf numFmtId="0" fontId="3" fillId="0" borderId="18" xfId="0" applyFont="1" applyBorder="1" applyAlignment="1">
      <alignment horizontal="left"/>
    </xf>
    <xf numFmtId="0" fontId="3" fillId="0" borderId="19" xfId="0" applyFont="1" applyBorder="1" applyAlignment="1">
      <alignment horizontal="left"/>
    </xf>
    <xf numFmtId="0" fontId="3" fillId="0" borderId="13" xfId="0" applyFont="1" applyBorder="1" applyAlignment="1">
      <alignment horizontal="left"/>
    </xf>
    <xf numFmtId="0" fontId="3" fillId="0" borderId="12" xfId="0" applyFont="1" applyBorder="1" applyAlignment="1">
      <alignment horizontal="left"/>
    </xf>
    <xf numFmtId="0" fontId="3" fillId="7" borderId="13" xfId="0" applyFont="1" applyFill="1" applyBorder="1" applyAlignment="1">
      <alignment horizontal="left"/>
    </xf>
    <xf numFmtId="0" fontId="3" fillId="7" borderId="11" xfId="0" applyFont="1" applyFill="1" applyBorder="1" applyAlignment="1">
      <alignment horizontal="left"/>
    </xf>
    <xf numFmtId="0" fontId="3" fillId="7" borderId="12" xfId="0" applyFont="1" applyFill="1" applyBorder="1" applyAlignment="1">
      <alignment horizontal="left"/>
    </xf>
    <xf numFmtId="0" fontId="3" fillId="0" borderId="20" xfId="0" applyFont="1" applyBorder="1" applyAlignment="1">
      <alignment horizontal="left"/>
    </xf>
    <xf numFmtId="0" fontId="3" fillId="0" borderId="21" xfId="0" applyFont="1" applyBorder="1" applyAlignment="1">
      <alignment horizontal="left"/>
    </xf>
    <xf numFmtId="0" fontId="3" fillId="0" borderId="22" xfId="0" applyFont="1" applyBorder="1" applyAlignment="1">
      <alignment horizontal="left"/>
    </xf>
    <xf numFmtId="0" fontId="3" fillId="0" borderId="11" xfId="0" applyFont="1" applyBorder="1" applyAlignment="1">
      <alignment horizontal="left"/>
    </xf>
    <xf numFmtId="0" fontId="3" fillId="0" borderId="13" xfId="0" applyFont="1" applyBorder="1" applyAlignment="1">
      <alignment horizontal="left"/>
    </xf>
    <xf numFmtId="49" fontId="3" fillId="0" borderId="1" xfId="0" applyNumberFormat="1" applyFont="1" applyFill="1" applyBorder="1"/>
    <xf numFmtId="49" fontId="3" fillId="0" borderId="1" xfId="0" applyNumberFormat="1" applyFont="1" applyFill="1" applyBorder="1" applyAlignment="1">
      <alignment horizontal="left"/>
    </xf>
    <xf numFmtId="0" fontId="3" fillId="0" borderId="1" xfId="0" applyFont="1" applyFill="1" applyBorder="1"/>
    <xf numFmtId="49" fontId="3" fillId="0" borderId="1" xfId="1" applyNumberFormat="1" applyFont="1" applyFill="1" applyBorder="1" applyAlignment="1">
      <alignment horizontal="left" vertical="top"/>
    </xf>
    <xf numFmtId="0" fontId="3" fillId="0" borderId="1" xfId="0" applyFont="1" applyFill="1" applyBorder="1" applyAlignment="1">
      <alignment horizontal="left"/>
    </xf>
    <xf numFmtId="49" fontId="3" fillId="0" borderId="23" xfId="0" applyNumberFormat="1" applyFont="1" applyBorder="1"/>
    <xf numFmtId="49" fontId="3" fillId="0" borderId="14" xfId="0" applyNumberFormat="1" applyFont="1" applyBorder="1"/>
    <xf numFmtId="49" fontId="3" fillId="0" borderId="16" xfId="0" applyNumberFormat="1" applyFont="1" applyBorder="1"/>
    <xf numFmtId="49" fontId="3" fillId="0" borderId="15" xfId="0" applyNumberFormat="1" applyFont="1" applyBorder="1"/>
    <xf numFmtId="49" fontId="3" fillId="0" borderId="3" xfId="0" applyNumberFormat="1" applyFont="1" applyBorder="1"/>
    <xf numFmtId="49" fontId="3" fillId="0" borderId="4" xfId="0" applyNumberFormat="1" applyFont="1" applyBorder="1"/>
    <xf numFmtId="49" fontId="3" fillId="0" borderId="5" xfId="0" applyNumberFormat="1" applyFont="1" applyBorder="1"/>
    <xf numFmtId="49" fontId="13" fillId="0" borderId="1" xfId="0" applyNumberFormat="1" applyFont="1" applyBorder="1"/>
    <xf numFmtId="49" fontId="3" fillId="0" borderId="0" xfId="0" applyNumberFormat="1" applyFont="1" applyBorder="1"/>
    <xf numFmtId="49" fontId="13" fillId="0" borderId="0" xfId="0" applyNumberFormat="1" applyFont="1" applyBorder="1"/>
    <xf numFmtId="49" fontId="3" fillId="4" borderId="0" xfId="0" applyNumberFormat="1" applyFont="1" applyFill="1" applyAlignment="1">
      <alignment horizontal="left"/>
    </xf>
    <xf numFmtId="49" fontId="4" fillId="2" borderId="0" xfId="0" applyNumberFormat="1" applyFont="1" applyFill="1" applyAlignment="1">
      <alignment horizontal="left"/>
    </xf>
    <xf numFmtId="49" fontId="3" fillId="2" borderId="0" xfId="0" applyNumberFormat="1" applyFont="1" applyFill="1" applyAlignment="1">
      <alignment horizontal="left"/>
    </xf>
    <xf numFmtId="49" fontId="3" fillId="5" borderId="1" xfId="0" applyNumberFormat="1" applyFont="1" applyFill="1" applyBorder="1"/>
    <xf numFmtId="0" fontId="3" fillId="0" borderId="24" xfId="0" applyFont="1" applyBorder="1" applyAlignment="1">
      <alignment horizontal="left"/>
    </xf>
    <xf numFmtId="49" fontId="14" fillId="0" borderId="0" xfId="0" applyNumberFormat="1" applyFont="1"/>
  </cellXfs>
  <cellStyles count="3">
    <cellStyle name="ハイパーリンク 2" xfId="2" xr:uid="{1F0AA34D-AA8C-4FE6-9FBE-1045589419E0}"/>
    <cellStyle name="標準" xfId="0" builtinId="0"/>
    <cellStyle name="標準_doc" xfId="1" xr:uid="{E6320536-516F-4820-8901-00F886CB0E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14</xdr:row>
      <xdr:rowOff>152400</xdr:rowOff>
    </xdr:from>
    <xdr:to>
      <xdr:col>2</xdr:col>
      <xdr:colOff>1742742</xdr:colOff>
      <xdr:row>20</xdr:row>
      <xdr:rowOff>104631</xdr:rowOff>
    </xdr:to>
    <xdr:pic>
      <xdr:nvPicPr>
        <xdr:cNvPr id="12" name="図 11">
          <a:extLst>
            <a:ext uri="{FF2B5EF4-FFF2-40B4-BE49-F238E27FC236}">
              <a16:creationId xmlns:a16="http://schemas.microsoft.com/office/drawing/2014/main" id="{C1636CB0-E8E8-00F5-F2A4-F1397949BFE1}"/>
            </a:ext>
          </a:extLst>
        </xdr:cNvPr>
        <xdr:cNvPicPr>
          <a:picLocks noChangeAspect="1"/>
        </xdr:cNvPicPr>
      </xdr:nvPicPr>
      <xdr:blipFill>
        <a:blip xmlns:r="http://schemas.openxmlformats.org/officeDocument/2006/relationships" r:embed="rId1"/>
        <a:stretch>
          <a:fillRect/>
        </a:stretch>
      </xdr:blipFill>
      <xdr:spPr>
        <a:xfrm>
          <a:off x="542925" y="5800725"/>
          <a:ext cx="2666667" cy="1152381"/>
        </a:xfrm>
        <a:prstGeom prst="rect">
          <a:avLst/>
        </a:prstGeom>
      </xdr:spPr>
    </xdr:pic>
    <xdr:clientData/>
  </xdr:twoCellAnchor>
  <xdr:twoCellAnchor editAs="oneCell">
    <xdr:from>
      <xdr:col>1</xdr:col>
      <xdr:colOff>361950</xdr:colOff>
      <xdr:row>31</xdr:row>
      <xdr:rowOff>95250</xdr:rowOff>
    </xdr:from>
    <xdr:to>
      <xdr:col>2</xdr:col>
      <xdr:colOff>1723702</xdr:colOff>
      <xdr:row>37</xdr:row>
      <xdr:rowOff>161767</xdr:rowOff>
    </xdr:to>
    <xdr:pic>
      <xdr:nvPicPr>
        <xdr:cNvPr id="13" name="図 12">
          <a:extLst>
            <a:ext uri="{FF2B5EF4-FFF2-40B4-BE49-F238E27FC236}">
              <a16:creationId xmlns:a16="http://schemas.microsoft.com/office/drawing/2014/main" id="{38131BE8-252C-5689-0882-0D7C8AC92097}"/>
            </a:ext>
          </a:extLst>
        </xdr:cNvPr>
        <xdr:cNvPicPr>
          <a:picLocks noChangeAspect="1"/>
        </xdr:cNvPicPr>
      </xdr:nvPicPr>
      <xdr:blipFill>
        <a:blip xmlns:r="http://schemas.openxmlformats.org/officeDocument/2006/relationships" r:embed="rId2"/>
        <a:stretch>
          <a:fillRect/>
        </a:stretch>
      </xdr:blipFill>
      <xdr:spPr>
        <a:xfrm>
          <a:off x="609600" y="6143625"/>
          <a:ext cx="2580952" cy="12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24</xdr:row>
      <xdr:rowOff>19050</xdr:rowOff>
    </xdr:from>
    <xdr:to>
      <xdr:col>3</xdr:col>
      <xdr:colOff>352425</xdr:colOff>
      <xdr:row>33</xdr:row>
      <xdr:rowOff>161925</xdr:rowOff>
    </xdr:to>
    <xdr:sp macro="" textlink="">
      <xdr:nvSpPr>
        <xdr:cNvPr id="2" name="フリーフォーム: 図形 1">
          <a:extLst>
            <a:ext uri="{FF2B5EF4-FFF2-40B4-BE49-F238E27FC236}">
              <a16:creationId xmlns:a16="http://schemas.microsoft.com/office/drawing/2014/main" id="{E4290927-24A5-B90C-34AD-16509FC7FB68}"/>
            </a:ext>
          </a:extLst>
        </xdr:cNvPr>
        <xdr:cNvSpPr/>
      </xdr:nvSpPr>
      <xdr:spPr bwMode="auto">
        <a:xfrm>
          <a:off x="2352675" y="4867275"/>
          <a:ext cx="1133475" cy="1943100"/>
        </a:xfrm>
        <a:custGeom>
          <a:avLst/>
          <a:gdLst>
            <a:gd name="csX0" fmla="*/ 1828800 w 1828800"/>
            <a:gd name="csY0" fmla="*/ 0 h 1952625"/>
            <a:gd name="csX1" fmla="*/ 0 w 1828800"/>
            <a:gd name="csY1" fmla="*/ 1952625 h 1952625"/>
          </a:gdLst>
          <a:ahLst/>
          <a:cxnLst>
            <a:cxn ang="0">
              <a:pos x="csX0" y="csY0"/>
            </a:cxn>
            <a:cxn ang="0">
              <a:pos x="csX1" y="csY1"/>
            </a:cxn>
          </a:cxnLst>
          <a:rect l="l" t="t" r="r" b="b"/>
          <a:pathLst>
            <a:path w="1828800" h="1952625">
              <a:moveTo>
                <a:pt x="1828800" y="0"/>
              </a:moveTo>
              <a:lnTo>
                <a:pt x="0" y="19526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638175</xdr:colOff>
      <xdr:row>28</xdr:row>
      <xdr:rowOff>9525</xdr:rowOff>
    </xdr:from>
    <xdr:to>
      <xdr:col>3</xdr:col>
      <xdr:colOff>457200</xdr:colOff>
      <xdr:row>35</xdr:row>
      <xdr:rowOff>66676</xdr:rowOff>
    </xdr:to>
    <xdr:sp macro="" textlink="">
      <xdr:nvSpPr>
        <xdr:cNvPr id="3" name="フリーフォーム: 図形 2">
          <a:extLst>
            <a:ext uri="{FF2B5EF4-FFF2-40B4-BE49-F238E27FC236}">
              <a16:creationId xmlns:a16="http://schemas.microsoft.com/office/drawing/2014/main" id="{E983F907-74AC-228A-F904-F7BE80E8425F}"/>
            </a:ext>
          </a:extLst>
        </xdr:cNvPr>
        <xdr:cNvSpPr/>
      </xdr:nvSpPr>
      <xdr:spPr bwMode="auto">
        <a:xfrm>
          <a:off x="2838450" y="5657850"/>
          <a:ext cx="752475" cy="1457326"/>
        </a:xfrm>
        <a:custGeom>
          <a:avLst/>
          <a:gdLst>
            <a:gd name="csX0" fmla="*/ 1828800 w 1828800"/>
            <a:gd name="csY0" fmla="*/ 0 h 1952625"/>
            <a:gd name="csX1" fmla="*/ 0 w 1828800"/>
            <a:gd name="csY1" fmla="*/ 1952625 h 1952625"/>
          </a:gdLst>
          <a:ahLst/>
          <a:cxnLst>
            <a:cxn ang="0">
              <a:pos x="csX0" y="csY0"/>
            </a:cxn>
            <a:cxn ang="0">
              <a:pos x="csX1" y="csY1"/>
            </a:cxn>
          </a:cxnLst>
          <a:rect l="l" t="t" r="r" b="b"/>
          <a:pathLst>
            <a:path w="1828800" h="1952625">
              <a:moveTo>
                <a:pt x="1828800" y="0"/>
              </a:moveTo>
              <a:lnTo>
                <a:pt x="0" y="19526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419100</xdr:colOff>
      <xdr:row>31</xdr:row>
      <xdr:rowOff>19050</xdr:rowOff>
    </xdr:from>
    <xdr:to>
      <xdr:col>1</xdr:col>
      <xdr:colOff>628649</xdr:colOff>
      <xdr:row>37</xdr:row>
      <xdr:rowOff>0</xdr:rowOff>
    </xdr:to>
    <xdr:sp macro="" textlink="">
      <xdr:nvSpPr>
        <xdr:cNvPr id="4" name="フリーフォーム: 図形 3">
          <a:extLst>
            <a:ext uri="{FF2B5EF4-FFF2-40B4-BE49-F238E27FC236}">
              <a16:creationId xmlns:a16="http://schemas.microsoft.com/office/drawing/2014/main" id="{EB4E6178-C4C6-272C-EDA5-CEFB254B06C7}"/>
            </a:ext>
          </a:extLst>
        </xdr:cNvPr>
        <xdr:cNvSpPr/>
      </xdr:nvSpPr>
      <xdr:spPr bwMode="auto">
        <a:xfrm flipH="1">
          <a:off x="666750" y="6267450"/>
          <a:ext cx="209549" cy="1181100"/>
        </a:xfrm>
        <a:custGeom>
          <a:avLst/>
          <a:gdLst>
            <a:gd name="csX0" fmla="*/ 1828800 w 1828800"/>
            <a:gd name="csY0" fmla="*/ 0 h 1952625"/>
            <a:gd name="csX1" fmla="*/ 0 w 1828800"/>
            <a:gd name="csY1" fmla="*/ 1952625 h 1952625"/>
          </a:gdLst>
          <a:ahLst/>
          <a:cxnLst>
            <a:cxn ang="0">
              <a:pos x="csX0" y="csY0"/>
            </a:cxn>
            <a:cxn ang="0">
              <a:pos x="csX1" y="csY1"/>
            </a:cxn>
          </a:cxnLst>
          <a:rect l="l" t="t" r="r" b="b"/>
          <a:pathLst>
            <a:path w="1828800" h="1952625">
              <a:moveTo>
                <a:pt x="1828800" y="0"/>
              </a:moveTo>
              <a:lnTo>
                <a:pt x="0" y="19526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1733551</xdr:colOff>
      <xdr:row>48</xdr:row>
      <xdr:rowOff>47624</xdr:rowOff>
    </xdr:from>
    <xdr:to>
      <xdr:col>4</xdr:col>
      <xdr:colOff>104776</xdr:colOff>
      <xdr:row>65</xdr:row>
      <xdr:rowOff>9524</xdr:rowOff>
    </xdr:to>
    <xdr:sp macro="" textlink="">
      <xdr:nvSpPr>
        <xdr:cNvPr id="5" name="フリーフォーム: 図形 4">
          <a:extLst>
            <a:ext uri="{FF2B5EF4-FFF2-40B4-BE49-F238E27FC236}">
              <a16:creationId xmlns:a16="http://schemas.microsoft.com/office/drawing/2014/main" id="{A291E94F-E697-FF25-F3BB-802F27104D8B}"/>
            </a:ext>
          </a:extLst>
        </xdr:cNvPr>
        <xdr:cNvSpPr/>
      </xdr:nvSpPr>
      <xdr:spPr bwMode="auto">
        <a:xfrm>
          <a:off x="1981201" y="9896474"/>
          <a:ext cx="4171950" cy="3362325"/>
        </a:xfrm>
        <a:custGeom>
          <a:avLst/>
          <a:gdLst>
            <a:gd name="csX0" fmla="*/ 1828800 w 1828800"/>
            <a:gd name="csY0" fmla="*/ 0 h 1952625"/>
            <a:gd name="csX1" fmla="*/ 0 w 1828800"/>
            <a:gd name="csY1" fmla="*/ 1952625 h 1952625"/>
          </a:gdLst>
          <a:ahLst/>
          <a:cxnLst>
            <a:cxn ang="0">
              <a:pos x="csX0" y="csY0"/>
            </a:cxn>
            <a:cxn ang="0">
              <a:pos x="csX1" y="csY1"/>
            </a:cxn>
          </a:cxnLst>
          <a:rect l="l" t="t" r="r" b="b"/>
          <a:pathLst>
            <a:path w="1828800" h="1952625">
              <a:moveTo>
                <a:pt x="1828800" y="0"/>
              </a:moveTo>
              <a:lnTo>
                <a:pt x="0" y="19526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704851</xdr:colOff>
      <xdr:row>48</xdr:row>
      <xdr:rowOff>200024</xdr:rowOff>
    </xdr:from>
    <xdr:to>
      <xdr:col>6</xdr:col>
      <xdr:colOff>104775</xdr:colOff>
      <xdr:row>66</xdr:row>
      <xdr:rowOff>85725</xdr:rowOff>
    </xdr:to>
    <xdr:sp macro="" textlink="">
      <xdr:nvSpPr>
        <xdr:cNvPr id="6" name="フリーフォーム: 図形 5">
          <a:extLst>
            <a:ext uri="{FF2B5EF4-FFF2-40B4-BE49-F238E27FC236}">
              <a16:creationId xmlns:a16="http://schemas.microsoft.com/office/drawing/2014/main" id="{28D9FF42-66AB-8FA5-521D-DDA97884ED03}"/>
            </a:ext>
          </a:extLst>
        </xdr:cNvPr>
        <xdr:cNvSpPr/>
      </xdr:nvSpPr>
      <xdr:spPr bwMode="auto">
        <a:xfrm flipH="1">
          <a:off x="6753226" y="10048874"/>
          <a:ext cx="1743074" cy="3486151"/>
        </a:xfrm>
        <a:custGeom>
          <a:avLst/>
          <a:gdLst>
            <a:gd name="csX0" fmla="*/ 1828800 w 1828800"/>
            <a:gd name="csY0" fmla="*/ 0 h 1952625"/>
            <a:gd name="csX1" fmla="*/ 0 w 1828800"/>
            <a:gd name="csY1" fmla="*/ 1952625 h 1952625"/>
          </a:gdLst>
          <a:ahLst/>
          <a:cxnLst>
            <a:cxn ang="0">
              <a:pos x="csX0" y="csY0"/>
            </a:cxn>
            <a:cxn ang="0">
              <a:pos x="csX1" y="csY1"/>
            </a:cxn>
          </a:cxnLst>
          <a:rect l="l" t="t" r="r" b="b"/>
          <a:pathLst>
            <a:path w="1828800" h="1952625">
              <a:moveTo>
                <a:pt x="1828800" y="0"/>
              </a:moveTo>
              <a:lnTo>
                <a:pt x="0" y="19526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838200</xdr:colOff>
      <xdr:row>58</xdr:row>
      <xdr:rowOff>38100</xdr:rowOff>
    </xdr:from>
    <xdr:to>
      <xdr:col>9</xdr:col>
      <xdr:colOff>152400</xdr:colOff>
      <xdr:row>62</xdr:row>
      <xdr:rowOff>0</xdr:rowOff>
    </xdr:to>
    <xdr:sp macro="" textlink="">
      <xdr:nvSpPr>
        <xdr:cNvPr id="2" name="右中かっこ 1">
          <a:extLst>
            <a:ext uri="{FF2B5EF4-FFF2-40B4-BE49-F238E27FC236}">
              <a16:creationId xmlns:a16="http://schemas.microsoft.com/office/drawing/2014/main" id="{2B14243B-5996-305D-683B-2F1BA528C47E}"/>
            </a:ext>
          </a:extLst>
        </xdr:cNvPr>
        <xdr:cNvSpPr/>
      </xdr:nvSpPr>
      <xdr:spPr bwMode="auto">
        <a:xfrm>
          <a:off x="8172450" y="11687175"/>
          <a:ext cx="180975" cy="762000"/>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1009650</xdr:colOff>
      <xdr:row>63</xdr:row>
      <xdr:rowOff>19050</xdr:rowOff>
    </xdr:from>
    <xdr:to>
      <xdr:col>6</xdr:col>
      <xdr:colOff>171450</xdr:colOff>
      <xdr:row>74</xdr:row>
      <xdr:rowOff>180975</xdr:rowOff>
    </xdr:to>
    <xdr:sp macro="" textlink="">
      <xdr:nvSpPr>
        <xdr:cNvPr id="3" name="右中かっこ 2">
          <a:extLst>
            <a:ext uri="{FF2B5EF4-FFF2-40B4-BE49-F238E27FC236}">
              <a16:creationId xmlns:a16="http://schemas.microsoft.com/office/drawing/2014/main" id="{D5AB4422-1539-8017-F2A7-6CE3F4DEED91}"/>
            </a:ext>
          </a:extLst>
        </xdr:cNvPr>
        <xdr:cNvSpPr/>
      </xdr:nvSpPr>
      <xdr:spPr bwMode="auto">
        <a:xfrm>
          <a:off x="5257800" y="12668250"/>
          <a:ext cx="200025" cy="2362200"/>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1685925</xdr:colOff>
      <xdr:row>48</xdr:row>
      <xdr:rowOff>142875</xdr:rowOff>
    </xdr:from>
    <xdr:to>
      <xdr:col>3</xdr:col>
      <xdr:colOff>2276475</xdr:colOff>
      <xdr:row>51</xdr:row>
      <xdr:rowOff>187325</xdr:rowOff>
    </xdr:to>
    <xdr:sp macro="" textlink="">
      <xdr:nvSpPr>
        <xdr:cNvPr id="2" name="Oval 2">
          <a:extLst>
            <a:ext uri="{FF2B5EF4-FFF2-40B4-BE49-F238E27FC236}">
              <a16:creationId xmlns:a16="http://schemas.microsoft.com/office/drawing/2014/main" id="{F4A9C151-0A5C-4C9C-92DB-185E63216F43}"/>
            </a:ext>
          </a:extLst>
        </xdr:cNvPr>
        <xdr:cNvSpPr>
          <a:spLocks noChangeArrowheads="1"/>
        </xdr:cNvSpPr>
      </xdr:nvSpPr>
      <xdr:spPr bwMode="auto">
        <a:xfrm>
          <a:off x="5086350" y="9791700"/>
          <a:ext cx="590550" cy="64452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anchor="ctr"/>
        <a:lstStyle/>
        <a:p>
          <a:pPr algn="ctr"/>
          <a:r>
            <a:rPr lang="en-US" altLang="ja-JP"/>
            <a:t>idle</a:t>
          </a:r>
          <a:endParaRPr lang="ja-JP" altLang="en-US"/>
        </a:p>
      </xdr:txBody>
    </xdr:sp>
    <xdr:clientData/>
  </xdr:twoCellAnchor>
  <xdr:twoCellAnchor>
    <xdr:from>
      <xdr:col>4</xdr:col>
      <xdr:colOff>1228725</xdr:colOff>
      <xdr:row>48</xdr:row>
      <xdr:rowOff>142875</xdr:rowOff>
    </xdr:from>
    <xdr:to>
      <xdr:col>5</xdr:col>
      <xdr:colOff>165100</xdr:colOff>
      <xdr:row>51</xdr:row>
      <xdr:rowOff>187325</xdr:rowOff>
    </xdr:to>
    <xdr:sp macro="" textlink="">
      <xdr:nvSpPr>
        <xdr:cNvPr id="3" name="Oval 5">
          <a:extLst>
            <a:ext uri="{FF2B5EF4-FFF2-40B4-BE49-F238E27FC236}">
              <a16:creationId xmlns:a16="http://schemas.microsoft.com/office/drawing/2014/main" id="{7600F1C3-7A81-4B71-935D-CE9D43E1534B}"/>
            </a:ext>
          </a:extLst>
        </xdr:cNvPr>
        <xdr:cNvSpPr>
          <a:spLocks noChangeArrowheads="1"/>
        </xdr:cNvSpPr>
      </xdr:nvSpPr>
      <xdr:spPr bwMode="auto">
        <a:xfrm>
          <a:off x="7543800" y="9791700"/>
          <a:ext cx="593725" cy="64452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anchor="ctr"/>
        <a:lstStyle/>
        <a:p>
          <a:pPr algn="ctr"/>
          <a:r>
            <a:rPr lang="en-US" altLang="ja-JP"/>
            <a:t>lt1</a:t>
          </a:r>
          <a:endParaRPr lang="ja-JP" altLang="en-US"/>
        </a:p>
      </xdr:txBody>
    </xdr:sp>
    <xdr:clientData/>
  </xdr:twoCellAnchor>
  <xdr:twoCellAnchor>
    <xdr:from>
      <xdr:col>6</xdr:col>
      <xdr:colOff>168275</xdr:colOff>
      <xdr:row>48</xdr:row>
      <xdr:rowOff>142875</xdr:rowOff>
    </xdr:from>
    <xdr:to>
      <xdr:col>7</xdr:col>
      <xdr:colOff>76200</xdr:colOff>
      <xdr:row>51</xdr:row>
      <xdr:rowOff>187325</xdr:rowOff>
    </xdr:to>
    <xdr:sp macro="" textlink="">
      <xdr:nvSpPr>
        <xdr:cNvPr id="4" name="Oval 7">
          <a:extLst>
            <a:ext uri="{FF2B5EF4-FFF2-40B4-BE49-F238E27FC236}">
              <a16:creationId xmlns:a16="http://schemas.microsoft.com/office/drawing/2014/main" id="{DE585BEE-9557-46F5-B416-C06C2609ACF8}"/>
            </a:ext>
          </a:extLst>
        </xdr:cNvPr>
        <xdr:cNvSpPr>
          <a:spLocks noChangeArrowheads="1"/>
        </xdr:cNvSpPr>
      </xdr:nvSpPr>
      <xdr:spPr bwMode="auto">
        <a:xfrm>
          <a:off x="8826500" y="9791700"/>
          <a:ext cx="593725" cy="64452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anchor="ctr"/>
        <a:lstStyle/>
        <a:p>
          <a:pPr algn="ctr"/>
          <a:r>
            <a:rPr lang="en-US" altLang="ja-JP"/>
            <a:t>lt2</a:t>
          </a:r>
          <a:endParaRPr lang="ja-JP" altLang="en-US"/>
        </a:p>
      </xdr:txBody>
    </xdr:sp>
    <xdr:clientData/>
  </xdr:twoCellAnchor>
  <xdr:twoCellAnchor>
    <xdr:from>
      <xdr:col>3</xdr:col>
      <xdr:colOff>2276475</xdr:colOff>
      <xdr:row>50</xdr:row>
      <xdr:rowOff>120650</xdr:rowOff>
    </xdr:from>
    <xdr:to>
      <xdr:col>4</xdr:col>
      <xdr:colOff>1228725</xdr:colOff>
      <xdr:row>50</xdr:row>
      <xdr:rowOff>120650</xdr:rowOff>
    </xdr:to>
    <xdr:sp macro="" textlink="">
      <xdr:nvSpPr>
        <xdr:cNvPr id="5" name="Line 9">
          <a:extLst>
            <a:ext uri="{FF2B5EF4-FFF2-40B4-BE49-F238E27FC236}">
              <a16:creationId xmlns:a16="http://schemas.microsoft.com/office/drawing/2014/main" id="{BC3D2957-6CD9-4CF1-ADE5-475599E8E859}"/>
            </a:ext>
          </a:extLst>
        </xdr:cNvPr>
        <xdr:cNvSpPr>
          <a:spLocks noChangeShapeType="1"/>
        </xdr:cNvSpPr>
      </xdr:nvSpPr>
      <xdr:spPr bwMode="auto">
        <a:xfrm>
          <a:off x="5676900" y="10169525"/>
          <a:ext cx="1866900" cy="0"/>
        </a:xfrm>
        <a:prstGeom prst="line">
          <a:avLst/>
        </a:prstGeom>
        <a:noFill/>
        <a:ln w="38100">
          <a:solidFill>
            <a:srgbClr xmlns:mc="http://schemas.openxmlformats.org/markup-compatibility/2006" xmlns:a14="http://schemas.microsoft.com/office/drawing/2010/main" val="339966" mc:Ignorable="a14" a14:legacySpreadsheetColorIndex="57"/>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1685925</xdr:colOff>
      <xdr:row>49</xdr:row>
      <xdr:rowOff>37239</xdr:rowOff>
    </xdr:from>
    <xdr:to>
      <xdr:col>3</xdr:col>
      <xdr:colOff>2189991</xdr:colOff>
      <xdr:row>50</xdr:row>
      <xdr:rowOff>65088</xdr:rowOff>
    </xdr:to>
    <xdr:cxnSp macro="">
      <xdr:nvCxnSpPr>
        <xdr:cNvPr id="6" name="AutoShape 10">
          <a:extLst>
            <a:ext uri="{FF2B5EF4-FFF2-40B4-BE49-F238E27FC236}">
              <a16:creationId xmlns:a16="http://schemas.microsoft.com/office/drawing/2014/main" id="{2BFEE91F-D4F2-4AA7-9EBF-07B86B730E22}"/>
            </a:ext>
          </a:extLst>
        </xdr:cNvPr>
        <xdr:cNvCxnSpPr>
          <a:cxnSpLocks noChangeShapeType="1"/>
          <a:stCxn id="2" idx="7"/>
          <a:endCxn id="2" idx="2"/>
        </xdr:cNvCxnSpPr>
      </xdr:nvCxnSpPr>
      <xdr:spPr bwMode="auto">
        <a:xfrm rot="16200000" flipH="1" flipV="1">
          <a:off x="5224446" y="9747993"/>
          <a:ext cx="227874" cy="504066"/>
        </a:xfrm>
        <a:prstGeom prst="curvedConnector4">
          <a:avLst>
            <a:gd name="adj1" fmla="val -141740"/>
            <a:gd name="adj2" fmla="val 14535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165100</xdr:colOff>
      <xdr:row>50</xdr:row>
      <xdr:rowOff>65088</xdr:rowOff>
    </xdr:from>
    <xdr:to>
      <xdr:col>6</xdr:col>
      <xdr:colOff>168275</xdr:colOff>
      <xdr:row>50</xdr:row>
      <xdr:rowOff>65088</xdr:rowOff>
    </xdr:to>
    <xdr:cxnSp macro="">
      <xdr:nvCxnSpPr>
        <xdr:cNvPr id="7" name="AutoShape 11">
          <a:extLst>
            <a:ext uri="{FF2B5EF4-FFF2-40B4-BE49-F238E27FC236}">
              <a16:creationId xmlns:a16="http://schemas.microsoft.com/office/drawing/2014/main" id="{3557B214-36D2-415A-B8E3-4661D1FC8838}"/>
            </a:ext>
          </a:extLst>
        </xdr:cNvPr>
        <xdr:cNvCxnSpPr>
          <a:cxnSpLocks noChangeShapeType="1"/>
          <a:stCxn id="3" idx="6"/>
          <a:endCxn id="4" idx="2"/>
        </xdr:cNvCxnSpPr>
      </xdr:nvCxnSpPr>
      <xdr:spPr bwMode="auto">
        <a:xfrm>
          <a:off x="8137525" y="10113963"/>
          <a:ext cx="68897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50</xdr:row>
      <xdr:rowOff>111125</xdr:rowOff>
    </xdr:from>
    <xdr:to>
      <xdr:col>7</xdr:col>
      <xdr:colOff>441325</xdr:colOff>
      <xdr:row>50</xdr:row>
      <xdr:rowOff>111125</xdr:rowOff>
    </xdr:to>
    <xdr:sp macro="" textlink="">
      <xdr:nvSpPr>
        <xdr:cNvPr id="8" name="Line 12">
          <a:extLst>
            <a:ext uri="{FF2B5EF4-FFF2-40B4-BE49-F238E27FC236}">
              <a16:creationId xmlns:a16="http://schemas.microsoft.com/office/drawing/2014/main" id="{8DDD3FB7-6F3F-4375-95B5-CA161FF760C4}"/>
            </a:ext>
          </a:extLst>
        </xdr:cNvPr>
        <xdr:cNvSpPr>
          <a:spLocks noChangeShapeType="1"/>
        </xdr:cNvSpPr>
      </xdr:nvSpPr>
      <xdr:spPr bwMode="auto">
        <a:xfrm>
          <a:off x="9420225" y="10160000"/>
          <a:ext cx="3651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431800</xdr:colOff>
      <xdr:row>50</xdr:row>
      <xdr:rowOff>6350</xdr:rowOff>
    </xdr:from>
    <xdr:to>
      <xdr:col>9</xdr:col>
      <xdr:colOff>212725</xdr:colOff>
      <xdr:row>51</xdr:row>
      <xdr:rowOff>47625</xdr:rowOff>
    </xdr:to>
    <xdr:sp macro="" textlink="">
      <xdr:nvSpPr>
        <xdr:cNvPr id="9" name="Text Box 13">
          <a:extLst>
            <a:ext uri="{FF2B5EF4-FFF2-40B4-BE49-F238E27FC236}">
              <a16:creationId xmlns:a16="http://schemas.microsoft.com/office/drawing/2014/main" id="{C220B740-69FF-41DE-B315-20E16FC08F4E}"/>
            </a:ext>
          </a:extLst>
        </xdr:cNvPr>
        <xdr:cNvSpPr txBox="1">
          <a:spLocks noChangeArrowheads="1"/>
        </xdr:cNvSpPr>
      </xdr:nvSpPr>
      <xdr:spPr bwMode="auto">
        <a:xfrm>
          <a:off x="9775825" y="10055225"/>
          <a:ext cx="1152525"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状態遷移終わり</a:t>
          </a:r>
        </a:p>
      </xdr:txBody>
    </xdr:sp>
    <xdr:clientData/>
  </xdr:twoCellAnchor>
  <xdr:twoCellAnchor>
    <xdr:from>
      <xdr:col>3</xdr:col>
      <xdr:colOff>2505075</xdr:colOff>
      <xdr:row>49</xdr:row>
      <xdr:rowOff>88900</xdr:rowOff>
    </xdr:from>
    <xdr:to>
      <xdr:col>4</xdr:col>
      <xdr:colOff>758825</xdr:colOff>
      <xdr:row>50</xdr:row>
      <xdr:rowOff>130175</xdr:rowOff>
    </xdr:to>
    <xdr:sp macro="" textlink="">
      <xdr:nvSpPr>
        <xdr:cNvPr id="10" name="Text Box 14">
          <a:extLst>
            <a:ext uri="{FF2B5EF4-FFF2-40B4-BE49-F238E27FC236}">
              <a16:creationId xmlns:a16="http://schemas.microsoft.com/office/drawing/2014/main" id="{27889EAC-6B86-431C-A08F-BB09347894A6}"/>
            </a:ext>
          </a:extLst>
        </xdr:cNvPr>
        <xdr:cNvSpPr txBox="1">
          <a:spLocks noChangeArrowheads="1"/>
        </xdr:cNvSpPr>
      </xdr:nvSpPr>
      <xdr:spPr bwMode="auto">
        <a:xfrm>
          <a:off x="5905500" y="9937750"/>
          <a:ext cx="11684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起動</a:t>
          </a:r>
        </a:p>
      </xdr:txBody>
    </xdr:sp>
    <xdr:clientData/>
  </xdr:twoCellAnchor>
  <xdr:twoCellAnchor>
    <xdr:from>
      <xdr:col>5</xdr:col>
      <xdr:colOff>250825</xdr:colOff>
      <xdr:row>49</xdr:row>
      <xdr:rowOff>28575</xdr:rowOff>
    </xdr:from>
    <xdr:to>
      <xdr:col>6</xdr:col>
      <xdr:colOff>228600</xdr:colOff>
      <xdr:row>50</xdr:row>
      <xdr:rowOff>130175</xdr:rowOff>
    </xdr:to>
    <xdr:sp macro="" textlink="">
      <xdr:nvSpPr>
        <xdr:cNvPr id="11" name="Text Box 15">
          <a:extLst>
            <a:ext uri="{FF2B5EF4-FFF2-40B4-BE49-F238E27FC236}">
              <a16:creationId xmlns:a16="http://schemas.microsoft.com/office/drawing/2014/main" id="{25B5A3F0-53AD-4180-A611-440263D91999}"/>
            </a:ext>
          </a:extLst>
        </xdr:cNvPr>
        <xdr:cNvSpPr txBox="1">
          <a:spLocks noChangeArrowheads="1"/>
        </xdr:cNvSpPr>
      </xdr:nvSpPr>
      <xdr:spPr bwMode="auto">
        <a:xfrm>
          <a:off x="8223250" y="9877425"/>
          <a:ext cx="663575" cy="3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遷移</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127</xdr:row>
      <xdr:rowOff>47625</xdr:rowOff>
    </xdr:from>
    <xdr:to>
      <xdr:col>10</xdr:col>
      <xdr:colOff>0</xdr:colOff>
      <xdr:row>127</xdr:row>
      <xdr:rowOff>47625</xdr:rowOff>
    </xdr:to>
    <xdr:sp macro="" textlink="">
      <xdr:nvSpPr>
        <xdr:cNvPr id="2" name="Line 23">
          <a:extLst>
            <a:ext uri="{FF2B5EF4-FFF2-40B4-BE49-F238E27FC236}">
              <a16:creationId xmlns:a16="http://schemas.microsoft.com/office/drawing/2014/main" id="{A0DB7CCD-E1FB-40ED-BBB2-BFCB5957BBD6}"/>
            </a:ext>
          </a:extLst>
        </xdr:cNvPr>
        <xdr:cNvSpPr>
          <a:spLocks noChangeShapeType="1"/>
        </xdr:cNvSpPr>
      </xdr:nvSpPr>
      <xdr:spPr bwMode="auto">
        <a:xfrm>
          <a:off x="2828925" y="37004625"/>
          <a:ext cx="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180975</xdr:colOff>
      <xdr:row>23</xdr:row>
      <xdr:rowOff>66675</xdr:rowOff>
    </xdr:from>
    <xdr:to>
      <xdr:col>7</xdr:col>
      <xdr:colOff>311150</xdr:colOff>
      <xdr:row>38</xdr:row>
      <xdr:rowOff>114300</xdr:rowOff>
    </xdr:to>
    <xdr:sp macro="" textlink="">
      <xdr:nvSpPr>
        <xdr:cNvPr id="2" name="Rectangle 39">
          <a:extLst>
            <a:ext uri="{FF2B5EF4-FFF2-40B4-BE49-F238E27FC236}">
              <a16:creationId xmlns:a16="http://schemas.microsoft.com/office/drawing/2014/main" id="{C1E50AC0-2692-4D79-9DB3-BD851246607D}"/>
            </a:ext>
          </a:extLst>
        </xdr:cNvPr>
        <xdr:cNvSpPr>
          <a:spLocks noChangeArrowheads="1"/>
        </xdr:cNvSpPr>
      </xdr:nvSpPr>
      <xdr:spPr bwMode="auto">
        <a:xfrm>
          <a:off x="7886700" y="4714875"/>
          <a:ext cx="1501775" cy="30480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テストモジュールA</a:t>
          </a:r>
        </a:p>
      </xdr:txBody>
    </xdr:sp>
    <xdr:clientData/>
  </xdr:twoCellAnchor>
  <xdr:twoCellAnchor>
    <xdr:from>
      <xdr:col>12</xdr:col>
      <xdr:colOff>174625</xdr:colOff>
      <xdr:row>23</xdr:row>
      <xdr:rowOff>66675</xdr:rowOff>
    </xdr:from>
    <xdr:to>
      <xdr:col>14</xdr:col>
      <xdr:colOff>304800</xdr:colOff>
      <xdr:row>38</xdr:row>
      <xdr:rowOff>114300</xdr:rowOff>
    </xdr:to>
    <xdr:sp macro="" textlink="">
      <xdr:nvSpPr>
        <xdr:cNvPr id="3" name="Rectangle 40">
          <a:extLst>
            <a:ext uri="{FF2B5EF4-FFF2-40B4-BE49-F238E27FC236}">
              <a16:creationId xmlns:a16="http://schemas.microsoft.com/office/drawing/2014/main" id="{5084B5BF-4A45-45E2-AE68-8E505CAAF40F}"/>
            </a:ext>
          </a:extLst>
        </xdr:cNvPr>
        <xdr:cNvSpPr>
          <a:spLocks noChangeArrowheads="1"/>
        </xdr:cNvSpPr>
      </xdr:nvSpPr>
      <xdr:spPr bwMode="auto">
        <a:xfrm>
          <a:off x="12680950" y="4714875"/>
          <a:ext cx="1501775" cy="30480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テストモジュールB</a:t>
          </a:r>
        </a:p>
      </xdr:txBody>
    </xdr:sp>
    <xdr:clientData/>
  </xdr:twoCellAnchor>
  <xdr:twoCellAnchor>
    <xdr:from>
      <xdr:col>7</xdr:col>
      <xdr:colOff>320675</xdr:colOff>
      <xdr:row>25</xdr:row>
      <xdr:rowOff>63500</xdr:rowOff>
    </xdr:from>
    <xdr:to>
      <xdr:col>12</xdr:col>
      <xdr:colOff>165100</xdr:colOff>
      <xdr:row>25</xdr:row>
      <xdr:rowOff>63500</xdr:rowOff>
    </xdr:to>
    <xdr:sp macro="" textlink="">
      <xdr:nvSpPr>
        <xdr:cNvPr id="4" name="Line 41">
          <a:extLst>
            <a:ext uri="{FF2B5EF4-FFF2-40B4-BE49-F238E27FC236}">
              <a16:creationId xmlns:a16="http://schemas.microsoft.com/office/drawing/2014/main" id="{FA315569-91E6-41A7-BEE4-FAF668A65E29}"/>
            </a:ext>
          </a:extLst>
        </xdr:cNvPr>
        <xdr:cNvSpPr>
          <a:spLocks noChangeShapeType="1"/>
        </xdr:cNvSpPr>
      </xdr:nvSpPr>
      <xdr:spPr bwMode="auto">
        <a:xfrm>
          <a:off x="9398000" y="5111750"/>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396875</xdr:colOff>
      <xdr:row>23</xdr:row>
      <xdr:rowOff>57150</xdr:rowOff>
    </xdr:from>
    <xdr:to>
      <xdr:col>8</xdr:col>
      <xdr:colOff>190500</xdr:colOff>
      <xdr:row>25</xdr:row>
      <xdr:rowOff>63500</xdr:rowOff>
    </xdr:to>
    <xdr:sp macro="" textlink="">
      <xdr:nvSpPr>
        <xdr:cNvPr id="5" name="Text Box 43">
          <a:extLst>
            <a:ext uri="{FF2B5EF4-FFF2-40B4-BE49-F238E27FC236}">
              <a16:creationId xmlns:a16="http://schemas.microsoft.com/office/drawing/2014/main" id="{9E23A30B-F1A2-4C44-952D-37D6267350F4}"/>
            </a:ext>
          </a:extLst>
        </xdr:cNvPr>
        <xdr:cNvSpPr txBox="1">
          <a:spLocks noChangeArrowheads="1"/>
        </xdr:cNvSpPr>
      </xdr:nvSpPr>
      <xdr:spPr bwMode="auto">
        <a:xfrm>
          <a:off x="9474200" y="4705350"/>
          <a:ext cx="479425" cy="406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ACHS</a:t>
          </a:r>
        </a:p>
      </xdr:txBody>
    </xdr:sp>
    <xdr:clientData/>
  </xdr:twoCellAnchor>
  <xdr:twoCellAnchor>
    <xdr:from>
      <xdr:col>11</xdr:col>
      <xdr:colOff>247650</xdr:colOff>
      <xdr:row>23</xdr:row>
      <xdr:rowOff>57150</xdr:rowOff>
    </xdr:from>
    <xdr:to>
      <xdr:col>12</xdr:col>
      <xdr:colOff>41275</xdr:colOff>
      <xdr:row>25</xdr:row>
      <xdr:rowOff>63500</xdr:rowOff>
    </xdr:to>
    <xdr:sp macro="" textlink="">
      <xdr:nvSpPr>
        <xdr:cNvPr id="6" name="Text Box 44">
          <a:extLst>
            <a:ext uri="{FF2B5EF4-FFF2-40B4-BE49-F238E27FC236}">
              <a16:creationId xmlns:a16="http://schemas.microsoft.com/office/drawing/2014/main" id="{84009FE3-2470-4576-83D6-E282EDDF733C}"/>
            </a:ext>
          </a:extLst>
        </xdr:cNvPr>
        <xdr:cNvSpPr txBox="1">
          <a:spLocks noChangeArrowheads="1"/>
        </xdr:cNvSpPr>
      </xdr:nvSpPr>
      <xdr:spPr bwMode="auto">
        <a:xfrm>
          <a:off x="12068175" y="4705350"/>
          <a:ext cx="479425" cy="406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BCHR</a:t>
          </a:r>
        </a:p>
      </xdr:txBody>
    </xdr:sp>
    <xdr:clientData/>
  </xdr:twoCellAnchor>
  <xdr:twoCellAnchor>
    <xdr:from>
      <xdr:col>7</xdr:col>
      <xdr:colOff>320675</xdr:colOff>
      <xdr:row>28</xdr:row>
      <xdr:rowOff>44450</xdr:rowOff>
    </xdr:from>
    <xdr:to>
      <xdr:col>12</xdr:col>
      <xdr:colOff>165100</xdr:colOff>
      <xdr:row>28</xdr:row>
      <xdr:rowOff>44450</xdr:rowOff>
    </xdr:to>
    <xdr:sp macro="" textlink="">
      <xdr:nvSpPr>
        <xdr:cNvPr id="7" name="Line 45">
          <a:extLst>
            <a:ext uri="{FF2B5EF4-FFF2-40B4-BE49-F238E27FC236}">
              <a16:creationId xmlns:a16="http://schemas.microsoft.com/office/drawing/2014/main" id="{BED2559A-466D-400C-8B80-3760228559AF}"/>
            </a:ext>
          </a:extLst>
        </xdr:cNvPr>
        <xdr:cNvSpPr>
          <a:spLocks noChangeShapeType="1"/>
        </xdr:cNvSpPr>
      </xdr:nvSpPr>
      <xdr:spPr bwMode="auto">
        <a:xfrm>
          <a:off x="9398000" y="5692775"/>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396875</xdr:colOff>
      <xdr:row>27</xdr:row>
      <xdr:rowOff>41275</xdr:rowOff>
    </xdr:from>
    <xdr:to>
      <xdr:col>8</xdr:col>
      <xdr:colOff>190500</xdr:colOff>
      <xdr:row>28</xdr:row>
      <xdr:rowOff>44450</xdr:rowOff>
    </xdr:to>
    <xdr:sp macro="" textlink="">
      <xdr:nvSpPr>
        <xdr:cNvPr id="8" name="Text Box 46">
          <a:extLst>
            <a:ext uri="{FF2B5EF4-FFF2-40B4-BE49-F238E27FC236}">
              <a16:creationId xmlns:a16="http://schemas.microsoft.com/office/drawing/2014/main" id="{3257EC7E-F13B-499D-A050-7576B90B7C3D}"/>
            </a:ext>
          </a:extLst>
        </xdr:cNvPr>
        <xdr:cNvSpPr txBox="1">
          <a:spLocks noChangeArrowheads="1"/>
        </xdr:cNvSpPr>
      </xdr:nvSpPr>
      <xdr:spPr bwMode="auto">
        <a:xfrm>
          <a:off x="9474200" y="5489575"/>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o_DT0</a:t>
          </a:r>
        </a:p>
      </xdr:txBody>
    </xdr:sp>
    <xdr:clientData/>
  </xdr:twoCellAnchor>
  <xdr:twoCellAnchor>
    <xdr:from>
      <xdr:col>11</xdr:col>
      <xdr:colOff>247650</xdr:colOff>
      <xdr:row>27</xdr:row>
      <xdr:rowOff>41275</xdr:rowOff>
    </xdr:from>
    <xdr:to>
      <xdr:col>12</xdr:col>
      <xdr:colOff>41275</xdr:colOff>
      <xdr:row>28</xdr:row>
      <xdr:rowOff>44450</xdr:rowOff>
    </xdr:to>
    <xdr:sp macro="" textlink="">
      <xdr:nvSpPr>
        <xdr:cNvPr id="9" name="Text Box 47">
          <a:extLst>
            <a:ext uri="{FF2B5EF4-FFF2-40B4-BE49-F238E27FC236}">
              <a16:creationId xmlns:a16="http://schemas.microsoft.com/office/drawing/2014/main" id="{FBB434E7-8F11-4757-94EE-E6CA69B02B52}"/>
            </a:ext>
          </a:extLst>
        </xdr:cNvPr>
        <xdr:cNvSpPr txBox="1">
          <a:spLocks noChangeArrowheads="1"/>
        </xdr:cNvSpPr>
      </xdr:nvSpPr>
      <xdr:spPr bwMode="auto">
        <a:xfrm>
          <a:off x="12068175" y="5489575"/>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i_DT0</a:t>
          </a:r>
        </a:p>
      </xdr:txBody>
    </xdr:sp>
    <xdr:clientData/>
  </xdr:twoCellAnchor>
  <xdr:twoCellAnchor>
    <xdr:from>
      <xdr:col>7</xdr:col>
      <xdr:colOff>320675</xdr:colOff>
      <xdr:row>29</xdr:row>
      <xdr:rowOff>114300</xdr:rowOff>
    </xdr:from>
    <xdr:to>
      <xdr:col>12</xdr:col>
      <xdr:colOff>165100</xdr:colOff>
      <xdr:row>29</xdr:row>
      <xdr:rowOff>114300</xdr:rowOff>
    </xdr:to>
    <xdr:sp macro="" textlink="">
      <xdr:nvSpPr>
        <xdr:cNvPr id="10" name="Line 48">
          <a:extLst>
            <a:ext uri="{FF2B5EF4-FFF2-40B4-BE49-F238E27FC236}">
              <a16:creationId xmlns:a16="http://schemas.microsoft.com/office/drawing/2014/main" id="{87BA65A9-560D-440D-BEA4-5C9D64D34722}"/>
            </a:ext>
          </a:extLst>
        </xdr:cNvPr>
        <xdr:cNvSpPr>
          <a:spLocks noChangeShapeType="1"/>
        </xdr:cNvSpPr>
      </xdr:nvSpPr>
      <xdr:spPr bwMode="auto">
        <a:xfrm>
          <a:off x="9398000" y="5962650"/>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396875</xdr:colOff>
      <xdr:row>28</xdr:row>
      <xdr:rowOff>111125</xdr:rowOff>
    </xdr:from>
    <xdr:to>
      <xdr:col>8</xdr:col>
      <xdr:colOff>190500</xdr:colOff>
      <xdr:row>29</xdr:row>
      <xdr:rowOff>114300</xdr:rowOff>
    </xdr:to>
    <xdr:sp macro="" textlink="">
      <xdr:nvSpPr>
        <xdr:cNvPr id="11" name="Text Box 49">
          <a:extLst>
            <a:ext uri="{FF2B5EF4-FFF2-40B4-BE49-F238E27FC236}">
              <a16:creationId xmlns:a16="http://schemas.microsoft.com/office/drawing/2014/main" id="{A8719ACA-4E95-40C3-A2AA-DFDB95396C31}"/>
            </a:ext>
          </a:extLst>
        </xdr:cNvPr>
        <xdr:cNvSpPr txBox="1">
          <a:spLocks noChangeArrowheads="1"/>
        </xdr:cNvSpPr>
      </xdr:nvSpPr>
      <xdr:spPr bwMode="auto">
        <a:xfrm>
          <a:off x="9474200" y="57594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o_DT1</a:t>
          </a:r>
        </a:p>
      </xdr:txBody>
    </xdr:sp>
    <xdr:clientData/>
  </xdr:twoCellAnchor>
  <xdr:twoCellAnchor>
    <xdr:from>
      <xdr:col>11</xdr:col>
      <xdr:colOff>247650</xdr:colOff>
      <xdr:row>28</xdr:row>
      <xdr:rowOff>111125</xdr:rowOff>
    </xdr:from>
    <xdr:to>
      <xdr:col>12</xdr:col>
      <xdr:colOff>41275</xdr:colOff>
      <xdr:row>29</xdr:row>
      <xdr:rowOff>114300</xdr:rowOff>
    </xdr:to>
    <xdr:sp macro="" textlink="">
      <xdr:nvSpPr>
        <xdr:cNvPr id="12" name="Text Box 50">
          <a:extLst>
            <a:ext uri="{FF2B5EF4-FFF2-40B4-BE49-F238E27FC236}">
              <a16:creationId xmlns:a16="http://schemas.microsoft.com/office/drawing/2014/main" id="{09C76821-6CBA-4A18-BCF7-0410ACD83F76}"/>
            </a:ext>
          </a:extLst>
        </xdr:cNvPr>
        <xdr:cNvSpPr txBox="1">
          <a:spLocks noChangeArrowheads="1"/>
        </xdr:cNvSpPr>
      </xdr:nvSpPr>
      <xdr:spPr bwMode="auto">
        <a:xfrm>
          <a:off x="12068175" y="57594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i_DT1</a:t>
          </a:r>
        </a:p>
      </xdr:txBody>
    </xdr:sp>
    <xdr:clientData/>
  </xdr:twoCellAnchor>
  <xdr:twoCellAnchor>
    <xdr:from>
      <xdr:col>9</xdr:col>
      <xdr:colOff>307975</xdr:colOff>
      <xdr:row>25</xdr:row>
      <xdr:rowOff>6350</xdr:rowOff>
    </xdr:from>
    <xdr:to>
      <xdr:col>9</xdr:col>
      <xdr:colOff>374650</xdr:colOff>
      <xdr:row>25</xdr:row>
      <xdr:rowOff>111125</xdr:rowOff>
    </xdr:to>
    <xdr:sp macro="" textlink="">
      <xdr:nvSpPr>
        <xdr:cNvPr id="13" name="Line 51">
          <a:extLst>
            <a:ext uri="{FF2B5EF4-FFF2-40B4-BE49-F238E27FC236}">
              <a16:creationId xmlns:a16="http://schemas.microsoft.com/office/drawing/2014/main" id="{09369124-6A27-4593-A7DD-1F9A8A3DEE4F}"/>
            </a:ext>
          </a:extLst>
        </xdr:cNvPr>
        <xdr:cNvSpPr>
          <a:spLocks noChangeShapeType="1"/>
        </xdr:cNvSpPr>
      </xdr:nvSpPr>
      <xdr:spPr bwMode="auto">
        <a:xfrm>
          <a:off x="10756900" y="5054600"/>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23</xdr:row>
      <xdr:rowOff>28575</xdr:rowOff>
    </xdr:from>
    <xdr:to>
      <xdr:col>9</xdr:col>
      <xdr:colOff>663575</xdr:colOff>
      <xdr:row>25</xdr:row>
      <xdr:rowOff>63500</xdr:rowOff>
    </xdr:to>
    <xdr:sp macro="" textlink="">
      <xdr:nvSpPr>
        <xdr:cNvPr id="14" name="Text Box 52">
          <a:extLst>
            <a:ext uri="{FF2B5EF4-FFF2-40B4-BE49-F238E27FC236}">
              <a16:creationId xmlns:a16="http://schemas.microsoft.com/office/drawing/2014/main" id="{77FC12AD-A463-4F81-B195-BB59CB9690F0}"/>
            </a:ext>
          </a:extLst>
        </xdr:cNvPr>
        <xdr:cNvSpPr txBox="1">
          <a:spLocks noChangeArrowheads="1"/>
        </xdr:cNvSpPr>
      </xdr:nvSpPr>
      <xdr:spPr bwMode="auto">
        <a:xfrm>
          <a:off x="10795000" y="4676775"/>
          <a:ext cx="317500" cy="434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a:t>
          </a:r>
        </a:p>
      </xdr:txBody>
    </xdr:sp>
    <xdr:clientData/>
  </xdr:twoCellAnchor>
  <xdr:twoCellAnchor>
    <xdr:from>
      <xdr:col>9</xdr:col>
      <xdr:colOff>307975</xdr:colOff>
      <xdr:row>28</xdr:row>
      <xdr:rowOff>6350</xdr:rowOff>
    </xdr:from>
    <xdr:to>
      <xdr:col>9</xdr:col>
      <xdr:colOff>374650</xdr:colOff>
      <xdr:row>28</xdr:row>
      <xdr:rowOff>111125</xdr:rowOff>
    </xdr:to>
    <xdr:sp macro="" textlink="">
      <xdr:nvSpPr>
        <xdr:cNvPr id="15" name="Line 55">
          <a:extLst>
            <a:ext uri="{FF2B5EF4-FFF2-40B4-BE49-F238E27FC236}">
              <a16:creationId xmlns:a16="http://schemas.microsoft.com/office/drawing/2014/main" id="{C8F2BAC0-65E0-4116-8A5F-A78B13373A0B}"/>
            </a:ext>
          </a:extLst>
        </xdr:cNvPr>
        <xdr:cNvSpPr>
          <a:spLocks noChangeShapeType="1"/>
        </xdr:cNvSpPr>
      </xdr:nvSpPr>
      <xdr:spPr bwMode="auto">
        <a:xfrm>
          <a:off x="10756900" y="565467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27</xdr:row>
      <xdr:rowOff>31750</xdr:rowOff>
    </xdr:from>
    <xdr:to>
      <xdr:col>9</xdr:col>
      <xdr:colOff>663575</xdr:colOff>
      <xdr:row>28</xdr:row>
      <xdr:rowOff>63500</xdr:rowOff>
    </xdr:to>
    <xdr:sp macro="" textlink="">
      <xdr:nvSpPr>
        <xdr:cNvPr id="16" name="Text Box 56">
          <a:extLst>
            <a:ext uri="{FF2B5EF4-FFF2-40B4-BE49-F238E27FC236}">
              <a16:creationId xmlns:a16="http://schemas.microsoft.com/office/drawing/2014/main" id="{9EC85065-9F93-4C36-A17D-64670BEB67CA}"/>
            </a:ext>
          </a:extLst>
        </xdr:cNvPr>
        <xdr:cNvSpPr txBox="1">
          <a:spLocks noChangeArrowheads="1"/>
        </xdr:cNvSpPr>
      </xdr:nvSpPr>
      <xdr:spPr bwMode="auto">
        <a:xfrm>
          <a:off x="10795000" y="5480050"/>
          <a:ext cx="317500" cy="231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32</a:t>
          </a:r>
        </a:p>
      </xdr:txBody>
    </xdr:sp>
    <xdr:clientData/>
  </xdr:twoCellAnchor>
  <xdr:twoCellAnchor>
    <xdr:from>
      <xdr:col>9</xdr:col>
      <xdr:colOff>307975</xdr:colOff>
      <xdr:row>29</xdr:row>
      <xdr:rowOff>76200</xdr:rowOff>
    </xdr:from>
    <xdr:to>
      <xdr:col>9</xdr:col>
      <xdr:colOff>374650</xdr:colOff>
      <xdr:row>30</xdr:row>
      <xdr:rowOff>12700</xdr:rowOff>
    </xdr:to>
    <xdr:sp macro="" textlink="">
      <xdr:nvSpPr>
        <xdr:cNvPr id="17" name="Line 57">
          <a:extLst>
            <a:ext uri="{FF2B5EF4-FFF2-40B4-BE49-F238E27FC236}">
              <a16:creationId xmlns:a16="http://schemas.microsoft.com/office/drawing/2014/main" id="{C00A4758-43D4-46CC-9E71-F62150944928}"/>
            </a:ext>
          </a:extLst>
        </xdr:cNvPr>
        <xdr:cNvSpPr>
          <a:spLocks noChangeShapeType="1"/>
        </xdr:cNvSpPr>
      </xdr:nvSpPr>
      <xdr:spPr bwMode="auto">
        <a:xfrm>
          <a:off x="10756900" y="5924550"/>
          <a:ext cx="66675" cy="1365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28</xdr:row>
      <xdr:rowOff>92075</xdr:rowOff>
    </xdr:from>
    <xdr:to>
      <xdr:col>9</xdr:col>
      <xdr:colOff>663575</xdr:colOff>
      <xdr:row>29</xdr:row>
      <xdr:rowOff>123825</xdr:rowOff>
    </xdr:to>
    <xdr:sp macro="" textlink="">
      <xdr:nvSpPr>
        <xdr:cNvPr id="18" name="Text Box 58">
          <a:extLst>
            <a:ext uri="{FF2B5EF4-FFF2-40B4-BE49-F238E27FC236}">
              <a16:creationId xmlns:a16="http://schemas.microsoft.com/office/drawing/2014/main" id="{0F31ED8E-8155-4ECD-9EC0-018E94CD586C}"/>
            </a:ext>
          </a:extLst>
        </xdr:cNvPr>
        <xdr:cNvSpPr txBox="1">
          <a:spLocks noChangeArrowheads="1"/>
        </xdr:cNvSpPr>
      </xdr:nvSpPr>
      <xdr:spPr bwMode="auto">
        <a:xfrm>
          <a:off x="10795000" y="5740400"/>
          <a:ext cx="317500" cy="231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16</a:t>
          </a:r>
        </a:p>
      </xdr:txBody>
    </xdr:sp>
    <xdr:clientData/>
  </xdr:twoCellAnchor>
  <xdr:twoCellAnchor>
    <xdr:from>
      <xdr:col>7</xdr:col>
      <xdr:colOff>320675</xdr:colOff>
      <xdr:row>34</xdr:row>
      <xdr:rowOff>92075</xdr:rowOff>
    </xdr:from>
    <xdr:to>
      <xdr:col>12</xdr:col>
      <xdr:colOff>165100</xdr:colOff>
      <xdr:row>34</xdr:row>
      <xdr:rowOff>92075</xdr:rowOff>
    </xdr:to>
    <xdr:sp macro="" textlink="">
      <xdr:nvSpPr>
        <xdr:cNvPr id="19" name="Line 59">
          <a:extLst>
            <a:ext uri="{FF2B5EF4-FFF2-40B4-BE49-F238E27FC236}">
              <a16:creationId xmlns:a16="http://schemas.microsoft.com/office/drawing/2014/main" id="{359FFEB1-AF96-41C3-891E-757A7FB8D46A}"/>
            </a:ext>
          </a:extLst>
        </xdr:cNvPr>
        <xdr:cNvSpPr>
          <a:spLocks noChangeShapeType="1"/>
        </xdr:cNvSpPr>
      </xdr:nvSpPr>
      <xdr:spPr bwMode="auto">
        <a:xfrm>
          <a:off x="9398000" y="6940550"/>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396875</xdr:colOff>
      <xdr:row>33</xdr:row>
      <xdr:rowOff>88900</xdr:rowOff>
    </xdr:from>
    <xdr:to>
      <xdr:col>8</xdr:col>
      <xdr:colOff>409575</xdr:colOff>
      <xdr:row>34</xdr:row>
      <xdr:rowOff>92075</xdr:rowOff>
    </xdr:to>
    <xdr:sp macro="" textlink="">
      <xdr:nvSpPr>
        <xdr:cNvPr id="20" name="Text Box 60">
          <a:extLst>
            <a:ext uri="{FF2B5EF4-FFF2-40B4-BE49-F238E27FC236}">
              <a16:creationId xmlns:a16="http://schemas.microsoft.com/office/drawing/2014/main" id="{CD0EAFD7-3F28-49DC-A33A-412F38503546}"/>
            </a:ext>
          </a:extLst>
        </xdr:cNvPr>
        <xdr:cNvSpPr txBox="1">
          <a:spLocks noChangeArrowheads="1"/>
        </xdr:cNvSpPr>
      </xdr:nvSpPr>
      <xdr:spPr bwMode="auto">
        <a:xfrm>
          <a:off x="9474200" y="6737350"/>
          <a:ext cx="698500"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ACHR_en</a:t>
          </a:r>
        </a:p>
      </xdr:txBody>
    </xdr:sp>
    <xdr:clientData/>
  </xdr:twoCellAnchor>
  <xdr:twoCellAnchor>
    <xdr:from>
      <xdr:col>11</xdr:col>
      <xdr:colOff>38100</xdr:colOff>
      <xdr:row>33</xdr:row>
      <xdr:rowOff>88900</xdr:rowOff>
    </xdr:from>
    <xdr:to>
      <xdr:col>12</xdr:col>
      <xdr:colOff>41275</xdr:colOff>
      <xdr:row>34</xdr:row>
      <xdr:rowOff>92075</xdr:rowOff>
    </xdr:to>
    <xdr:sp macro="" textlink="">
      <xdr:nvSpPr>
        <xdr:cNvPr id="21" name="Text Box 61">
          <a:extLst>
            <a:ext uri="{FF2B5EF4-FFF2-40B4-BE49-F238E27FC236}">
              <a16:creationId xmlns:a16="http://schemas.microsoft.com/office/drawing/2014/main" id="{385F4BAC-00EF-4F6B-9EA9-4D8316E87854}"/>
            </a:ext>
          </a:extLst>
        </xdr:cNvPr>
        <xdr:cNvSpPr txBox="1">
          <a:spLocks noChangeArrowheads="1"/>
        </xdr:cNvSpPr>
      </xdr:nvSpPr>
      <xdr:spPr bwMode="auto">
        <a:xfrm>
          <a:off x="11858625" y="6737350"/>
          <a:ext cx="68897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BCHS_en</a:t>
          </a:r>
        </a:p>
      </xdr:txBody>
    </xdr:sp>
    <xdr:clientData/>
  </xdr:twoCellAnchor>
  <xdr:twoCellAnchor>
    <xdr:from>
      <xdr:col>7</xdr:col>
      <xdr:colOff>320675</xdr:colOff>
      <xdr:row>35</xdr:row>
      <xdr:rowOff>193675</xdr:rowOff>
    </xdr:from>
    <xdr:to>
      <xdr:col>12</xdr:col>
      <xdr:colOff>165100</xdr:colOff>
      <xdr:row>35</xdr:row>
      <xdr:rowOff>193675</xdr:rowOff>
    </xdr:to>
    <xdr:sp macro="" textlink="">
      <xdr:nvSpPr>
        <xdr:cNvPr id="22" name="Line 62">
          <a:extLst>
            <a:ext uri="{FF2B5EF4-FFF2-40B4-BE49-F238E27FC236}">
              <a16:creationId xmlns:a16="http://schemas.microsoft.com/office/drawing/2014/main" id="{5470AF71-D744-4D24-837D-611F52A643C5}"/>
            </a:ext>
          </a:extLst>
        </xdr:cNvPr>
        <xdr:cNvSpPr>
          <a:spLocks noChangeShapeType="1"/>
        </xdr:cNvSpPr>
      </xdr:nvSpPr>
      <xdr:spPr bwMode="auto">
        <a:xfrm>
          <a:off x="9398000" y="7242175"/>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7</xdr:col>
      <xdr:colOff>396875</xdr:colOff>
      <xdr:row>34</xdr:row>
      <xdr:rowOff>190500</xdr:rowOff>
    </xdr:from>
    <xdr:to>
      <xdr:col>8</xdr:col>
      <xdr:colOff>190500</xdr:colOff>
      <xdr:row>35</xdr:row>
      <xdr:rowOff>193675</xdr:rowOff>
    </xdr:to>
    <xdr:sp macro="" textlink="">
      <xdr:nvSpPr>
        <xdr:cNvPr id="23" name="Text Box 63">
          <a:extLst>
            <a:ext uri="{FF2B5EF4-FFF2-40B4-BE49-F238E27FC236}">
              <a16:creationId xmlns:a16="http://schemas.microsoft.com/office/drawing/2014/main" id="{37D33EF7-320C-4C30-B238-1C8CCDAA6D9D}"/>
            </a:ext>
          </a:extLst>
        </xdr:cNvPr>
        <xdr:cNvSpPr txBox="1">
          <a:spLocks noChangeArrowheads="1"/>
        </xdr:cNvSpPr>
      </xdr:nvSpPr>
      <xdr:spPr bwMode="auto">
        <a:xfrm>
          <a:off x="9474200" y="7038975"/>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i_DT0</a:t>
          </a:r>
        </a:p>
      </xdr:txBody>
    </xdr:sp>
    <xdr:clientData/>
  </xdr:twoCellAnchor>
  <xdr:twoCellAnchor>
    <xdr:from>
      <xdr:col>11</xdr:col>
      <xdr:colOff>247650</xdr:colOff>
      <xdr:row>34</xdr:row>
      <xdr:rowOff>190500</xdr:rowOff>
    </xdr:from>
    <xdr:to>
      <xdr:col>12</xdr:col>
      <xdr:colOff>41275</xdr:colOff>
      <xdr:row>35</xdr:row>
      <xdr:rowOff>193675</xdr:rowOff>
    </xdr:to>
    <xdr:sp macro="" textlink="">
      <xdr:nvSpPr>
        <xdr:cNvPr id="24" name="Text Box 64">
          <a:extLst>
            <a:ext uri="{FF2B5EF4-FFF2-40B4-BE49-F238E27FC236}">
              <a16:creationId xmlns:a16="http://schemas.microsoft.com/office/drawing/2014/main" id="{5E710457-56D1-4184-BC2E-F8FBACBCBF87}"/>
            </a:ext>
          </a:extLst>
        </xdr:cNvPr>
        <xdr:cNvSpPr txBox="1">
          <a:spLocks noChangeArrowheads="1"/>
        </xdr:cNvSpPr>
      </xdr:nvSpPr>
      <xdr:spPr bwMode="auto">
        <a:xfrm>
          <a:off x="12068175" y="7038975"/>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o_DT0</a:t>
          </a:r>
        </a:p>
      </xdr:txBody>
    </xdr:sp>
    <xdr:clientData/>
  </xdr:twoCellAnchor>
  <xdr:twoCellAnchor>
    <xdr:from>
      <xdr:col>7</xdr:col>
      <xdr:colOff>320675</xdr:colOff>
      <xdr:row>37</xdr:row>
      <xdr:rowOff>63500</xdr:rowOff>
    </xdr:from>
    <xdr:to>
      <xdr:col>12</xdr:col>
      <xdr:colOff>165100</xdr:colOff>
      <xdr:row>37</xdr:row>
      <xdr:rowOff>63500</xdr:rowOff>
    </xdr:to>
    <xdr:sp macro="" textlink="">
      <xdr:nvSpPr>
        <xdr:cNvPr id="25" name="Line 65">
          <a:extLst>
            <a:ext uri="{FF2B5EF4-FFF2-40B4-BE49-F238E27FC236}">
              <a16:creationId xmlns:a16="http://schemas.microsoft.com/office/drawing/2014/main" id="{FD30823B-815D-4C8D-A2FF-32D12FFDC883}"/>
            </a:ext>
          </a:extLst>
        </xdr:cNvPr>
        <xdr:cNvSpPr>
          <a:spLocks noChangeShapeType="1"/>
        </xdr:cNvSpPr>
      </xdr:nvSpPr>
      <xdr:spPr bwMode="auto">
        <a:xfrm>
          <a:off x="9398000" y="7512050"/>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7</xdr:col>
      <xdr:colOff>396875</xdr:colOff>
      <xdr:row>36</xdr:row>
      <xdr:rowOff>60325</xdr:rowOff>
    </xdr:from>
    <xdr:to>
      <xdr:col>8</xdr:col>
      <xdr:colOff>190500</xdr:colOff>
      <xdr:row>37</xdr:row>
      <xdr:rowOff>63500</xdr:rowOff>
    </xdr:to>
    <xdr:sp macro="" textlink="">
      <xdr:nvSpPr>
        <xdr:cNvPr id="26" name="Text Box 66">
          <a:extLst>
            <a:ext uri="{FF2B5EF4-FFF2-40B4-BE49-F238E27FC236}">
              <a16:creationId xmlns:a16="http://schemas.microsoft.com/office/drawing/2014/main" id="{3E55B98A-3269-41C0-B0B3-AD32875A6E72}"/>
            </a:ext>
          </a:extLst>
        </xdr:cNvPr>
        <xdr:cNvSpPr txBox="1">
          <a:spLocks noChangeArrowheads="1"/>
        </xdr:cNvSpPr>
      </xdr:nvSpPr>
      <xdr:spPr bwMode="auto">
        <a:xfrm>
          <a:off x="9474200" y="73088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i_DT1</a:t>
          </a:r>
        </a:p>
      </xdr:txBody>
    </xdr:sp>
    <xdr:clientData/>
  </xdr:twoCellAnchor>
  <xdr:twoCellAnchor>
    <xdr:from>
      <xdr:col>11</xdr:col>
      <xdr:colOff>247650</xdr:colOff>
      <xdr:row>36</xdr:row>
      <xdr:rowOff>60325</xdr:rowOff>
    </xdr:from>
    <xdr:to>
      <xdr:col>12</xdr:col>
      <xdr:colOff>41275</xdr:colOff>
      <xdr:row>37</xdr:row>
      <xdr:rowOff>63500</xdr:rowOff>
    </xdr:to>
    <xdr:sp macro="" textlink="">
      <xdr:nvSpPr>
        <xdr:cNvPr id="27" name="Text Box 67">
          <a:extLst>
            <a:ext uri="{FF2B5EF4-FFF2-40B4-BE49-F238E27FC236}">
              <a16:creationId xmlns:a16="http://schemas.microsoft.com/office/drawing/2014/main" id="{B0AAED5F-0FFA-4C5A-BD1E-F4AA49696E4C}"/>
            </a:ext>
          </a:extLst>
        </xdr:cNvPr>
        <xdr:cNvSpPr txBox="1">
          <a:spLocks noChangeArrowheads="1"/>
        </xdr:cNvSpPr>
      </xdr:nvSpPr>
      <xdr:spPr bwMode="auto">
        <a:xfrm>
          <a:off x="12068175" y="73088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o_DT1</a:t>
          </a:r>
        </a:p>
      </xdr:txBody>
    </xdr:sp>
    <xdr:clientData/>
  </xdr:twoCellAnchor>
  <xdr:twoCellAnchor>
    <xdr:from>
      <xdr:col>9</xdr:col>
      <xdr:colOff>307975</xdr:colOff>
      <xdr:row>34</xdr:row>
      <xdr:rowOff>25400</xdr:rowOff>
    </xdr:from>
    <xdr:to>
      <xdr:col>9</xdr:col>
      <xdr:colOff>374650</xdr:colOff>
      <xdr:row>34</xdr:row>
      <xdr:rowOff>130175</xdr:rowOff>
    </xdr:to>
    <xdr:sp macro="" textlink="">
      <xdr:nvSpPr>
        <xdr:cNvPr id="28" name="Line 68">
          <a:extLst>
            <a:ext uri="{FF2B5EF4-FFF2-40B4-BE49-F238E27FC236}">
              <a16:creationId xmlns:a16="http://schemas.microsoft.com/office/drawing/2014/main" id="{CBF409FB-22CE-4C60-9FED-8477DB1CB8E2}"/>
            </a:ext>
          </a:extLst>
        </xdr:cNvPr>
        <xdr:cNvSpPr>
          <a:spLocks noChangeShapeType="1"/>
        </xdr:cNvSpPr>
      </xdr:nvSpPr>
      <xdr:spPr bwMode="auto">
        <a:xfrm>
          <a:off x="10756900" y="687387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33</xdr:row>
      <xdr:rowOff>50800</xdr:rowOff>
    </xdr:from>
    <xdr:to>
      <xdr:col>9</xdr:col>
      <xdr:colOff>663575</xdr:colOff>
      <xdr:row>34</xdr:row>
      <xdr:rowOff>82550</xdr:rowOff>
    </xdr:to>
    <xdr:sp macro="" textlink="">
      <xdr:nvSpPr>
        <xdr:cNvPr id="29" name="Text Box 69">
          <a:extLst>
            <a:ext uri="{FF2B5EF4-FFF2-40B4-BE49-F238E27FC236}">
              <a16:creationId xmlns:a16="http://schemas.microsoft.com/office/drawing/2014/main" id="{47C11BAB-9EE1-421E-BF46-C37A3C549B7B}"/>
            </a:ext>
          </a:extLst>
        </xdr:cNvPr>
        <xdr:cNvSpPr txBox="1">
          <a:spLocks noChangeArrowheads="1"/>
        </xdr:cNvSpPr>
      </xdr:nvSpPr>
      <xdr:spPr bwMode="auto">
        <a:xfrm>
          <a:off x="10795000" y="6699250"/>
          <a:ext cx="317500" cy="231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a:t>
          </a:r>
        </a:p>
      </xdr:txBody>
    </xdr:sp>
    <xdr:clientData/>
  </xdr:twoCellAnchor>
  <xdr:twoCellAnchor>
    <xdr:from>
      <xdr:col>9</xdr:col>
      <xdr:colOff>307975</xdr:colOff>
      <xdr:row>35</xdr:row>
      <xdr:rowOff>133350</xdr:rowOff>
    </xdr:from>
    <xdr:to>
      <xdr:col>9</xdr:col>
      <xdr:colOff>374650</xdr:colOff>
      <xdr:row>36</xdr:row>
      <xdr:rowOff>69850</xdr:rowOff>
    </xdr:to>
    <xdr:sp macro="" textlink="">
      <xdr:nvSpPr>
        <xdr:cNvPr id="30" name="Line 70">
          <a:extLst>
            <a:ext uri="{FF2B5EF4-FFF2-40B4-BE49-F238E27FC236}">
              <a16:creationId xmlns:a16="http://schemas.microsoft.com/office/drawing/2014/main" id="{C745385B-4166-498B-B00B-EB611DC2F44F}"/>
            </a:ext>
          </a:extLst>
        </xdr:cNvPr>
        <xdr:cNvSpPr>
          <a:spLocks noChangeShapeType="1"/>
        </xdr:cNvSpPr>
      </xdr:nvSpPr>
      <xdr:spPr bwMode="auto">
        <a:xfrm>
          <a:off x="10756900" y="7181850"/>
          <a:ext cx="66675" cy="1365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34</xdr:row>
      <xdr:rowOff>149225</xdr:rowOff>
    </xdr:from>
    <xdr:to>
      <xdr:col>9</xdr:col>
      <xdr:colOff>663575</xdr:colOff>
      <xdr:row>36</xdr:row>
      <xdr:rowOff>12700</xdr:rowOff>
    </xdr:to>
    <xdr:sp macro="" textlink="">
      <xdr:nvSpPr>
        <xdr:cNvPr id="31" name="Text Box 71">
          <a:extLst>
            <a:ext uri="{FF2B5EF4-FFF2-40B4-BE49-F238E27FC236}">
              <a16:creationId xmlns:a16="http://schemas.microsoft.com/office/drawing/2014/main" id="{F9539C06-C59C-40EC-934C-D220041B4663}"/>
            </a:ext>
          </a:extLst>
        </xdr:cNvPr>
        <xdr:cNvSpPr txBox="1">
          <a:spLocks noChangeArrowheads="1"/>
        </xdr:cNvSpPr>
      </xdr:nvSpPr>
      <xdr:spPr bwMode="auto">
        <a:xfrm>
          <a:off x="10795000" y="6997700"/>
          <a:ext cx="317500" cy="263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32</a:t>
          </a:r>
        </a:p>
      </xdr:txBody>
    </xdr:sp>
    <xdr:clientData/>
  </xdr:twoCellAnchor>
  <xdr:twoCellAnchor>
    <xdr:from>
      <xdr:col>9</xdr:col>
      <xdr:colOff>307975</xdr:colOff>
      <xdr:row>37</xdr:row>
      <xdr:rowOff>25400</xdr:rowOff>
    </xdr:from>
    <xdr:to>
      <xdr:col>9</xdr:col>
      <xdr:colOff>374650</xdr:colOff>
      <xdr:row>37</xdr:row>
      <xdr:rowOff>130175</xdr:rowOff>
    </xdr:to>
    <xdr:sp macro="" textlink="">
      <xdr:nvSpPr>
        <xdr:cNvPr id="32" name="Line 72">
          <a:extLst>
            <a:ext uri="{FF2B5EF4-FFF2-40B4-BE49-F238E27FC236}">
              <a16:creationId xmlns:a16="http://schemas.microsoft.com/office/drawing/2014/main" id="{488A002B-4E22-4842-AFF4-C0C766D136DA}"/>
            </a:ext>
          </a:extLst>
        </xdr:cNvPr>
        <xdr:cNvSpPr>
          <a:spLocks noChangeShapeType="1"/>
        </xdr:cNvSpPr>
      </xdr:nvSpPr>
      <xdr:spPr bwMode="auto">
        <a:xfrm>
          <a:off x="10756900" y="7473950"/>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36</xdr:row>
      <xdr:rowOff>41275</xdr:rowOff>
    </xdr:from>
    <xdr:to>
      <xdr:col>9</xdr:col>
      <xdr:colOff>663575</xdr:colOff>
      <xdr:row>37</xdr:row>
      <xdr:rowOff>73025</xdr:rowOff>
    </xdr:to>
    <xdr:sp macro="" textlink="">
      <xdr:nvSpPr>
        <xdr:cNvPr id="33" name="Text Box 73">
          <a:extLst>
            <a:ext uri="{FF2B5EF4-FFF2-40B4-BE49-F238E27FC236}">
              <a16:creationId xmlns:a16="http://schemas.microsoft.com/office/drawing/2014/main" id="{442A4879-7C25-4FF8-8944-F5137C42E7B8}"/>
            </a:ext>
          </a:extLst>
        </xdr:cNvPr>
        <xdr:cNvSpPr txBox="1">
          <a:spLocks noChangeArrowheads="1"/>
        </xdr:cNvSpPr>
      </xdr:nvSpPr>
      <xdr:spPr bwMode="auto">
        <a:xfrm>
          <a:off x="10795000" y="7289800"/>
          <a:ext cx="317500" cy="231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16</a:t>
          </a:r>
        </a:p>
      </xdr:txBody>
    </xdr:sp>
    <xdr:clientData/>
  </xdr:twoCellAnchor>
  <xdr:twoCellAnchor>
    <xdr:from>
      <xdr:col>7</xdr:col>
      <xdr:colOff>320675</xdr:colOff>
      <xdr:row>27</xdr:row>
      <xdr:rowOff>3175</xdr:rowOff>
    </xdr:from>
    <xdr:to>
      <xdr:col>12</xdr:col>
      <xdr:colOff>165100</xdr:colOff>
      <xdr:row>27</xdr:row>
      <xdr:rowOff>3175</xdr:rowOff>
    </xdr:to>
    <xdr:sp macro="" textlink="">
      <xdr:nvSpPr>
        <xdr:cNvPr id="34" name="Line 76">
          <a:extLst>
            <a:ext uri="{FF2B5EF4-FFF2-40B4-BE49-F238E27FC236}">
              <a16:creationId xmlns:a16="http://schemas.microsoft.com/office/drawing/2014/main" id="{A5C04E2E-469B-4E1F-BCF8-092C061DF0A4}"/>
            </a:ext>
          </a:extLst>
        </xdr:cNvPr>
        <xdr:cNvSpPr>
          <a:spLocks noChangeShapeType="1"/>
        </xdr:cNvSpPr>
      </xdr:nvSpPr>
      <xdr:spPr bwMode="auto">
        <a:xfrm>
          <a:off x="9398000" y="5451475"/>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7</xdr:col>
      <xdr:colOff>396875</xdr:colOff>
      <xdr:row>24</xdr:row>
      <xdr:rowOff>196850</xdr:rowOff>
    </xdr:from>
    <xdr:to>
      <xdr:col>8</xdr:col>
      <xdr:colOff>333375</xdr:colOff>
      <xdr:row>27</xdr:row>
      <xdr:rowOff>3175</xdr:rowOff>
    </xdr:to>
    <xdr:sp macro="" textlink="">
      <xdr:nvSpPr>
        <xdr:cNvPr id="35" name="Text Box 77">
          <a:extLst>
            <a:ext uri="{FF2B5EF4-FFF2-40B4-BE49-F238E27FC236}">
              <a16:creationId xmlns:a16="http://schemas.microsoft.com/office/drawing/2014/main" id="{58A7D821-DC4E-4744-BA02-5299FB187619}"/>
            </a:ext>
          </a:extLst>
        </xdr:cNvPr>
        <xdr:cNvSpPr txBox="1">
          <a:spLocks noChangeArrowheads="1"/>
        </xdr:cNvSpPr>
      </xdr:nvSpPr>
      <xdr:spPr bwMode="auto">
        <a:xfrm>
          <a:off x="9474200" y="5045075"/>
          <a:ext cx="622300" cy="406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ACHS_en</a:t>
          </a:r>
        </a:p>
      </xdr:txBody>
    </xdr:sp>
    <xdr:clientData/>
  </xdr:twoCellAnchor>
  <xdr:twoCellAnchor>
    <xdr:from>
      <xdr:col>11</xdr:col>
      <xdr:colOff>123825</xdr:colOff>
      <xdr:row>24</xdr:row>
      <xdr:rowOff>196850</xdr:rowOff>
    </xdr:from>
    <xdr:to>
      <xdr:col>12</xdr:col>
      <xdr:colOff>41275</xdr:colOff>
      <xdr:row>27</xdr:row>
      <xdr:rowOff>3175</xdr:rowOff>
    </xdr:to>
    <xdr:sp macro="" textlink="">
      <xdr:nvSpPr>
        <xdr:cNvPr id="36" name="Text Box 78">
          <a:extLst>
            <a:ext uri="{FF2B5EF4-FFF2-40B4-BE49-F238E27FC236}">
              <a16:creationId xmlns:a16="http://schemas.microsoft.com/office/drawing/2014/main" id="{17785060-46F0-4C55-8A5F-7FC5FBB51650}"/>
            </a:ext>
          </a:extLst>
        </xdr:cNvPr>
        <xdr:cNvSpPr txBox="1">
          <a:spLocks noChangeArrowheads="1"/>
        </xdr:cNvSpPr>
      </xdr:nvSpPr>
      <xdr:spPr bwMode="auto">
        <a:xfrm>
          <a:off x="11944350" y="5045075"/>
          <a:ext cx="603250" cy="406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BCHR_en</a:t>
          </a:r>
        </a:p>
      </xdr:txBody>
    </xdr:sp>
    <xdr:clientData/>
  </xdr:twoCellAnchor>
  <xdr:twoCellAnchor>
    <xdr:from>
      <xdr:col>9</xdr:col>
      <xdr:colOff>307975</xdr:colOff>
      <xdr:row>26</xdr:row>
      <xdr:rowOff>114300</xdr:rowOff>
    </xdr:from>
    <xdr:to>
      <xdr:col>9</xdr:col>
      <xdr:colOff>374650</xdr:colOff>
      <xdr:row>27</xdr:row>
      <xdr:rowOff>50800</xdr:rowOff>
    </xdr:to>
    <xdr:sp macro="" textlink="">
      <xdr:nvSpPr>
        <xdr:cNvPr id="37" name="Line 79">
          <a:extLst>
            <a:ext uri="{FF2B5EF4-FFF2-40B4-BE49-F238E27FC236}">
              <a16:creationId xmlns:a16="http://schemas.microsoft.com/office/drawing/2014/main" id="{076BB756-4260-49D9-A081-01030E37E1AA}"/>
            </a:ext>
          </a:extLst>
        </xdr:cNvPr>
        <xdr:cNvSpPr>
          <a:spLocks noChangeShapeType="1"/>
        </xdr:cNvSpPr>
      </xdr:nvSpPr>
      <xdr:spPr bwMode="auto">
        <a:xfrm>
          <a:off x="10756900" y="5362575"/>
          <a:ext cx="66675" cy="1365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346075</xdr:colOff>
      <xdr:row>24</xdr:row>
      <xdr:rowOff>168275</xdr:rowOff>
    </xdr:from>
    <xdr:to>
      <xdr:col>9</xdr:col>
      <xdr:colOff>663575</xdr:colOff>
      <xdr:row>27</xdr:row>
      <xdr:rowOff>3175</xdr:rowOff>
    </xdr:to>
    <xdr:sp macro="" textlink="">
      <xdr:nvSpPr>
        <xdr:cNvPr id="38" name="Text Box 80">
          <a:extLst>
            <a:ext uri="{FF2B5EF4-FFF2-40B4-BE49-F238E27FC236}">
              <a16:creationId xmlns:a16="http://schemas.microsoft.com/office/drawing/2014/main" id="{45C6394F-B758-420B-8BA7-89D72B80AB6B}"/>
            </a:ext>
          </a:extLst>
        </xdr:cNvPr>
        <xdr:cNvSpPr txBox="1">
          <a:spLocks noChangeArrowheads="1"/>
        </xdr:cNvSpPr>
      </xdr:nvSpPr>
      <xdr:spPr bwMode="auto">
        <a:xfrm>
          <a:off x="10795000" y="5016500"/>
          <a:ext cx="317500" cy="434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a:t>
          </a:r>
        </a:p>
      </xdr:txBody>
    </xdr:sp>
    <xdr:clientData/>
  </xdr:twoCellAnchor>
  <xdr:twoCellAnchor>
    <xdr:from>
      <xdr:col>7</xdr:col>
      <xdr:colOff>320675</xdr:colOff>
      <xdr:row>33</xdr:row>
      <xdr:rowOff>12700</xdr:rowOff>
    </xdr:from>
    <xdr:to>
      <xdr:col>12</xdr:col>
      <xdr:colOff>165100</xdr:colOff>
      <xdr:row>33</xdr:row>
      <xdr:rowOff>12700</xdr:rowOff>
    </xdr:to>
    <xdr:sp macro="" textlink="">
      <xdr:nvSpPr>
        <xdr:cNvPr id="39" name="Line 81">
          <a:extLst>
            <a:ext uri="{FF2B5EF4-FFF2-40B4-BE49-F238E27FC236}">
              <a16:creationId xmlns:a16="http://schemas.microsoft.com/office/drawing/2014/main" id="{BEFC9863-BBC8-4FA5-8BA0-D2D24C9DAE72}"/>
            </a:ext>
          </a:extLst>
        </xdr:cNvPr>
        <xdr:cNvSpPr>
          <a:spLocks noChangeShapeType="1"/>
        </xdr:cNvSpPr>
      </xdr:nvSpPr>
      <xdr:spPr bwMode="auto">
        <a:xfrm>
          <a:off x="9398000" y="6661150"/>
          <a:ext cx="3273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7</xdr:col>
      <xdr:colOff>396875</xdr:colOff>
      <xdr:row>32</xdr:row>
      <xdr:rowOff>9525</xdr:rowOff>
    </xdr:from>
    <xdr:to>
      <xdr:col>8</xdr:col>
      <xdr:colOff>190500</xdr:colOff>
      <xdr:row>33</xdr:row>
      <xdr:rowOff>12700</xdr:rowOff>
    </xdr:to>
    <xdr:sp macro="" textlink="">
      <xdr:nvSpPr>
        <xdr:cNvPr id="40" name="Text Box 82">
          <a:extLst>
            <a:ext uri="{FF2B5EF4-FFF2-40B4-BE49-F238E27FC236}">
              <a16:creationId xmlns:a16="http://schemas.microsoft.com/office/drawing/2014/main" id="{9BE905E7-3850-46B2-BC62-F53231A11187}"/>
            </a:ext>
          </a:extLst>
        </xdr:cNvPr>
        <xdr:cNvSpPr txBox="1">
          <a:spLocks noChangeArrowheads="1"/>
        </xdr:cNvSpPr>
      </xdr:nvSpPr>
      <xdr:spPr bwMode="auto">
        <a:xfrm>
          <a:off x="9474200" y="64579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ACHR</a:t>
          </a:r>
        </a:p>
      </xdr:txBody>
    </xdr:sp>
    <xdr:clientData/>
  </xdr:twoCellAnchor>
  <xdr:twoCellAnchor>
    <xdr:from>
      <xdr:col>11</xdr:col>
      <xdr:colOff>247650</xdr:colOff>
      <xdr:row>32</xdr:row>
      <xdr:rowOff>9525</xdr:rowOff>
    </xdr:from>
    <xdr:to>
      <xdr:col>12</xdr:col>
      <xdr:colOff>41275</xdr:colOff>
      <xdr:row>33</xdr:row>
      <xdr:rowOff>12700</xdr:rowOff>
    </xdr:to>
    <xdr:sp macro="" textlink="">
      <xdr:nvSpPr>
        <xdr:cNvPr id="41" name="Text Box 83">
          <a:extLst>
            <a:ext uri="{FF2B5EF4-FFF2-40B4-BE49-F238E27FC236}">
              <a16:creationId xmlns:a16="http://schemas.microsoft.com/office/drawing/2014/main" id="{A6D82162-E7D2-4F39-8115-5679E6AEB6C3}"/>
            </a:ext>
          </a:extLst>
        </xdr:cNvPr>
        <xdr:cNvSpPr txBox="1">
          <a:spLocks noChangeArrowheads="1"/>
        </xdr:cNvSpPr>
      </xdr:nvSpPr>
      <xdr:spPr bwMode="auto">
        <a:xfrm>
          <a:off x="12068175" y="6457950"/>
          <a:ext cx="479425"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BCHS</a:t>
          </a:r>
        </a:p>
      </xdr:txBody>
    </xdr:sp>
    <xdr:clientData/>
  </xdr:twoCellAnchor>
  <xdr:twoCellAnchor>
    <xdr:from>
      <xdr:col>9</xdr:col>
      <xdr:colOff>346075</xdr:colOff>
      <xdr:row>31</xdr:row>
      <xdr:rowOff>130175</xdr:rowOff>
    </xdr:from>
    <xdr:to>
      <xdr:col>9</xdr:col>
      <xdr:colOff>663575</xdr:colOff>
      <xdr:row>32</xdr:row>
      <xdr:rowOff>193675</xdr:rowOff>
    </xdr:to>
    <xdr:sp macro="" textlink="">
      <xdr:nvSpPr>
        <xdr:cNvPr id="42" name="Text Box 84">
          <a:extLst>
            <a:ext uri="{FF2B5EF4-FFF2-40B4-BE49-F238E27FC236}">
              <a16:creationId xmlns:a16="http://schemas.microsoft.com/office/drawing/2014/main" id="{62CE4151-0DC5-45F3-B290-2E63C556461D}"/>
            </a:ext>
          </a:extLst>
        </xdr:cNvPr>
        <xdr:cNvSpPr txBox="1">
          <a:spLocks noChangeArrowheads="1"/>
        </xdr:cNvSpPr>
      </xdr:nvSpPr>
      <xdr:spPr bwMode="auto">
        <a:xfrm>
          <a:off x="10795000" y="6378575"/>
          <a:ext cx="317500" cy="263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a:t>
          </a:r>
        </a:p>
      </xdr:txBody>
    </xdr:sp>
    <xdr:clientData/>
  </xdr:twoCellAnchor>
  <xdr:twoCellAnchor>
    <xdr:from>
      <xdr:col>9</xdr:col>
      <xdr:colOff>250825</xdr:colOff>
      <xdr:row>32</xdr:row>
      <xdr:rowOff>133350</xdr:rowOff>
    </xdr:from>
    <xdr:to>
      <xdr:col>9</xdr:col>
      <xdr:colOff>327025</xdr:colOff>
      <xdr:row>33</xdr:row>
      <xdr:rowOff>41275</xdr:rowOff>
    </xdr:to>
    <xdr:sp macro="" textlink="">
      <xdr:nvSpPr>
        <xdr:cNvPr id="43" name="Line 85">
          <a:extLst>
            <a:ext uri="{FF2B5EF4-FFF2-40B4-BE49-F238E27FC236}">
              <a16:creationId xmlns:a16="http://schemas.microsoft.com/office/drawing/2014/main" id="{1C17E4D3-34FE-4549-85AB-A90F7AB99E3B}"/>
            </a:ext>
          </a:extLst>
        </xdr:cNvPr>
        <xdr:cNvSpPr>
          <a:spLocks noChangeShapeType="1"/>
        </xdr:cNvSpPr>
      </xdr:nvSpPr>
      <xdr:spPr bwMode="auto">
        <a:xfrm>
          <a:off x="10699750" y="6581775"/>
          <a:ext cx="76200" cy="1079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371475</xdr:colOff>
      <xdr:row>1</xdr:row>
      <xdr:rowOff>28575</xdr:rowOff>
    </xdr:from>
    <xdr:to>
      <xdr:col>10</xdr:col>
      <xdr:colOff>412750</xdr:colOff>
      <xdr:row>17</xdr:row>
      <xdr:rowOff>168275</xdr:rowOff>
    </xdr:to>
    <xdr:grpSp>
      <xdr:nvGrpSpPr>
        <xdr:cNvPr id="54" name="グループ化 53">
          <a:extLst>
            <a:ext uri="{FF2B5EF4-FFF2-40B4-BE49-F238E27FC236}">
              <a16:creationId xmlns:a16="http://schemas.microsoft.com/office/drawing/2014/main" id="{19E11FA5-F231-1E6A-52E6-43A67AE10C7D}"/>
            </a:ext>
          </a:extLst>
        </xdr:cNvPr>
        <xdr:cNvGrpSpPr/>
      </xdr:nvGrpSpPr>
      <xdr:grpSpPr>
        <a:xfrm>
          <a:off x="8372475" y="276225"/>
          <a:ext cx="3470275" cy="3340100"/>
          <a:chOff x="8391525" y="647700"/>
          <a:chExt cx="6985000" cy="5835650"/>
        </a:xfrm>
      </xdr:grpSpPr>
      <xdr:sp macro="" textlink="">
        <xdr:nvSpPr>
          <xdr:cNvPr id="44" name="Rectangle 29">
            <a:extLst>
              <a:ext uri="{FF2B5EF4-FFF2-40B4-BE49-F238E27FC236}">
                <a16:creationId xmlns:a16="http://schemas.microsoft.com/office/drawing/2014/main" id="{3A9A19DF-0268-420B-A10B-591F02C0F726}"/>
              </a:ext>
            </a:extLst>
          </xdr:cNvPr>
          <xdr:cNvSpPr>
            <a:spLocks noChangeArrowheads="1"/>
          </xdr:cNvSpPr>
        </xdr:nvSpPr>
        <xdr:spPr bwMode="auto">
          <a:xfrm>
            <a:off x="8391525" y="647700"/>
            <a:ext cx="1501775" cy="12954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テスト</a:t>
            </a:r>
            <a:endParaRPr lang="en-US" altLang="ja-JP" sz="11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モジュールA</a:t>
            </a:r>
          </a:p>
        </xdr:txBody>
      </xdr:sp>
      <xdr:sp macro="" textlink="">
        <xdr:nvSpPr>
          <xdr:cNvPr id="45" name="Rectangle 30">
            <a:extLst>
              <a:ext uri="{FF2B5EF4-FFF2-40B4-BE49-F238E27FC236}">
                <a16:creationId xmlns:a16="http://schemas.microsoft.com/office/drawing/2014/main" id="{00933FA5-FF04-48AB-B34C-14CF1FF8F141}"/>
              </a:ext>
            </a:extLst>
          </xdr:cNvPr>
          <xdr:cNvSpPr>
            <a:spLocks noChangeArrowheads="1"/>
          </xdr:cNvSpPr>
        </xdr:nvSpPr>
        <xdr:spPr bwMode="auto">
          <a:xfrm>
            <a:off x="8391525" y="2901950"/>
            <a:ext cx="1501775" cy="1327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テスト</a:t>
            </a:r>
            <a:endParaRPr lang="en-US" altLang="ja-JP" sz="11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対象回路</a:t>
            </a:r>
          </a:p>
        </xdr:txBody>
      </xdr:sp>
      <xdr:sp macro="" textlink="">
        <xdr:nvSpPr>
          <xdr:cNvPr id="46" name="Rectangle 31">
            <a:extLst>
              <a:ext uri="{FF2B5EF4-FFF2-40B4-BE49-F238E27FC236}">
                <a16:creationId xmlns:a16="http://schemas.microsoft.com/office/drawing/2014/main" id="{543D7B67-F87C-4014-A2A2-A9689B8C1BA0}"/>
              </a:ext>
            </a:extLst>
          </xdr:cNvPr>
          <xdr:cNvSpPr>
            <a:spLocks noChangeArrowheads="1"/>
          </xdr:cNvSpPr>
        </xdr:nvSpPr>
        <xdr:spPr bwMode="auto">
          <a:xfrm>
            <a:off x="8391525" y="5156200"/>
            <a:ext cx="1501775" cy="132715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テストモジュールＢ</a:t>
            </a:r>
          </a:p>
        </xdr:txBody>
      </xdr:sp>
      <xdr:sp macro="" textlink="">
        <xdr:nvSpPr>
          <xdr:cNvPr id="47" name="Line 32">
            <a:extLst>
              <a:ext uri="{FF2B5EF4-FFF2-40B4-BE49-F238E27FC236}">
                <a16:creationId xmlns:a16="http://schemas.microsoft.com/office/drawing/2014/main" id="{7263C881-C91D-4093-BF1B-3549506ECB45}"/>
              </a:ext>
            </a:extLst>
          </xdr:cNvPr>
          <xdr:cNvSpPr>
            <a:spLocks noChangeShapeType="1"/>
          </xdr:cNvSpPr>
        </xdr:nvSpPr>
        <xdr:spPr bwMode="auto">
          <a:xfrm>
            <a:off x="9175750" y="1984375"/>
            <a:ext cx="0" cy="917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sp macro="" textlink="">
        <xdr:nvSpPr>
          <xdr:cNvPr id="48" name="Line 33">
            <a:extLst>
              <a:ext uri="{FF2B5EF4-FFF2-40B4-BE49-F238E27FC236}">
                <a16:creationId xmlns:a16="http://schemas.microsoft.com/office/drawing/2014/main" id="{615137E1-F76C-4EB5-A3DF-1A0DE216B22D}"/>
              </a:ext>
            </a:extLst>
          </xdr:cNvPr>
          <xdr:cNvSpPr>
            <a:spLocks noChangeShapeType="1"/>
          </xdr:cNvSpPr>
        </xdr:nvSpPr>
        <xdr:spPr bwMode="auto">
          <a:xfrm>
            <a:off x="9175750" y="4229100"/>
            <a:ext cx="0" cy="917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sp macro="" textlink="">
        <xdr:nvSpPr>
          <xdr:cNvPr id="49" name="Freeform 34">
            <a:extLst>
              <a:ext uri="{FF2B5EF4-FFF2-40B4-BE49-F238E27FC236}">
                <a16:creationId xmlns:a16="http://schemas.microsoft.com/office/drawing/2014/main" id="{3B284A04-55AB-46AB-B5D3-6F053846E1A4}"/>
              </a:ext>
            </a:extLst>
          </xdr:cNvPr>
          <xdr:cNvSpPr>
            <a:spLocks/>
          </xdr:cNvSpPr>
        </xdr:nvSpPr>
        <xdr:spPr bwMode="auto">
          <a:xfrm>
            <a:off x="9893300" y="1625600"/>
            <a:ext cx="517525" cy="3937000"/>
          </a:xfrm>
          <a:custGeom>
            <a:avLst/>
            <a:gdLst>
              <a:gd name="T0" fmla="*/ 0 w 54"/>
              <a:gd name="T1" fmla="*/ 0 h 350"/>
              <a:gd name="T2" fmla="*/ 54 w 54"/>
              <a:gd name="T3" fmla="*/ 0 h 350"/>
              <a:gd name="T4" fmla="*/ 54 w 54"/>
              <a:gd name="T5" fmla="*/ 350 h 350"/>
              <a:gd name="T6" fmla="*/ 2 w 54"/>
              <a:gd name="T7" fmla="*/ 350 h 350"/>
            </a:gdLst>
            <a:ahLst/>
            <a:cxnLst>
              <a:cxn ang="0">
                <a:pos x="T0" y="T1"/>
              </a:cxn>
              <a:cxn ang="0">
                <a:pos x="T2" y="T3"/>
              </a:cxn>
              <a:cxn ang="0">
                <a:pos x="T4" y="T5"/>
              </a:cxn>
              <a:cxn ang="0">
                <a:pos x="T6" y="T7"/>
              </a:cxn>
            </a:cxnLst>
            <a:rect l="0" t="0" r="r" b="b"/>
            <a:pathLst>
              <a:path w="54" h="350">
                <a:moveTo>
                  <a:pt x="0" y="0"/>
                </a:moveTo>
                <a:lnTo>
                  <a:pt x="54" y="0"/>
                </a:lnTo>
                <a:lnTo>
                  <a:pt x="54" y="350"/>
                </a:lnTo>
                <a:lnTo>
                  <a:pt x="2" y="350"/>
                </a:lnTo>
              </a:path>
            </a:pathLst>
          </a:custGeom>
          <a:noFill/>
          <a:ln w="31750" cap="flat" cmpd="sng">
            <a:solidFill>
              <a:srgbClr xmlns:mc="http://schemas.openxmlformats.org/markup-compatibility/2006" xmlns:a14="http://schemas.microsoft.com/office/drawing/2010/main" val="FF0000" mc:Ignorable="a14" a14:legacySpreadsheetColorIndex="10"/>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50" name="Freeform 35">
            <a:extLst>
              <a:ext uri="{FF2B5EF4-FFF2-40B4-BE49-F238E27FC236}">
                <a16:creationId xmlns:a16="http://schemas.microsoft.com/office/drawing/2014/main" id="{8748D27E-F00F-4C19-8770-5144834A5BA1}"/>
              </a:ext>
            </a:extLst>
          </xdr:cNvPr>
          <xdr:cNvSpPr>
            <a:spLocks/>
          </xdr:cNvSpPr>
        </xdr:nvSpPr>
        <xdr:spPr bwMode="auto">
          <a:xfrm>
            <a:off x="9893300" y="1092200"/>
            <a:ext cx="965200" cy="4857750"/>
          </a:xfrm>
          <a:custGeom>
            <a:avLst/>
            <a:gdLst>
              <a:gd name="T0" fmla="*/ 0 w 54"/>
              <a:gd name="T1" fmla="*/ 0 h 350"/>
              <a:gd name="T2" fmla="*/ 54 w 54"/>
              <a:gd name="T3" fmla="*/ 0 h 350"/>
              <a:gd name="T4" fmla="*/ 54 w 54"/>
              <a:gd name="T5" fmla="*/ 350 h 350"/>
              <a:gd name="T6" fmla="*/ 2 w 54"/>
              <a:gd name="T7" fmla="*/ 350 h 350"/>
            </a:gdLst>
            <a:ahLst/>
            <a:cxnLst>
              <a:cxn ang="0">
                <a:pos x="T0" y="T1"/>
              </a:cxn>
              <a:cxn ang="0">
                <a:pos x="T2" y="T3"/>
              </a:cxn>
              <a:cxn ang="0">
                <a:pos x="T4" y="T5"/>
              </a:cxn>
              <a:cxn ang="0">
                <a:pos x="T6" y="T7"/>
              </a:cxn>
            </a:cxnLst>
            <a:rect l="0" t="0" r="r" b="b"/>
            <a:pathLst>
              <a:path w="54" h="350">
                <a:moveTo>
                  <a:pt x="0" y="0"/>
                </a:moveTo>
                <a:lnTo>
                  <a:pt x="54" y="0"/>
                </a:lnTo>
                <a:lnTo>
                  <a:pt x="54" y="350"/>
                </a:lnTo>
                <a:lnTo>
                  <a:pt x="2" y="350"/>
                </a:lnTo>
              </a:path>
            </a:pathLst>
          </a:custGeom>
          <a:noFill/>
          <a:ln w="31750" cap="flat" cmpd="sng">
            <a:solidFill>
              <a:srgbClr xmlns:mc="http://schemas.openxmlformats.org/markup-compatibility/2006" xmlns:a14="http://schemas.microsoft.com/office/drawing/2010/main" val="FF0000" mc:Ignorable="a14" a14:legacySpreadsheetColorIndex="10"/>
            </a:solidFill>
            <a:prstDash val="solid"/>
            <a:round/>
            <a:headEnd type="triangl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51" name="Text Box 36">
            <a:extLst>
              <a:ext uri="{FF2B5EF4-FFF2-40B4-BE49-F238E27FC236}">
                <a16:creationId xmlns:a16="http://schemas.microsoft.com/office/drawing/2014/main" id="{C8B6795A-D4F2-4B48-9C08-BA4113412693}"/>
              </a:ext>
            </a:extLst>
          </xdr:cNvPr>
          <xdr:cNvSpPr txBox="1">
            <a:spLocks noChangeArrowheads="1"/>
          </xdr:cNvSpPr>
        </xdr:nvSpPr>
        <xdr:spPr bwMode="auto">
          <a:xfrm>
            <a:off x="12515850" y="3105150"/>
            <a:ext cx="2860675" cy="3778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テストモジュール間通信インターフェース</a:t>
            </a:r>
          </a:p>
        </xdr:txBody>
      </xdr:sp>
      <xdr:sp macro="" textlink="">
        <xdr:nvSpPr>
          <xdr:cNvPr id="52" name="Line 37">
            <a:extLst>
              <a:ext uri="{FF2B5EF4-FFF2-40B4-BE49-F238E27FC236}">
                <a16:creationId xmlns:a16="http://schemas.microsoft.com/office/drawing/2014/main" id="{C1BB19F0-5C54-4D02-A228-B248946DE7A0}"/>
              </a:ext>
            </a:extLst>
          </xdr:cNvPr>
          <xdr:cNvSpPr>
            <a:spLocks noChangeShapeType="1"/>
          </xdr:cNvSpPr>
        </xdr:nvSpPr>
        <xdr:spPr bwMode="auto">
          <a:xfrm flipH="1" flipV="1">
            <a:off x="10410825" y="2533650"/>
            <a:ext cx="2057400" cy="7080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3" name="Line 38">
            <a:extLst>
              <a:ext uri="{FF2B5EF4-FFF2-40B4-BE49-F238E27FC236}">
                <a16:creationId xmlns:a16="http://schemas.microsoft.com/office/drawing/2014/main" id="{E62E1929-68E2-4C16-A8C7-1D5EEB40F50F}"/>
              </a:ext>
            </a:extLst>
          </xdr:cNvPr>
          <xdr:cNvSpPr>
            <a:spLocks noChangeShapeType="1"/>
          </xdr:cNvSpPr>
        </xdr:nvSpPr>
        <xdr:spPr bwMode="auto">
          <a:xfrm flipH="1">
            <a:off x="10880725" y="3270250"/>
            <a:ext cx="1577975" cy="57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2809875</xdr:colOff>
      <xdr:row>2</xdr:row>
      <xdr:rowOff>161925</xdr:rowOff>
    </xdr:from>
    <xdr:to>
      <xdr:col>4</xdr:col>
      <xdr:colOff>1397000</xdr:colOff>
      <xdr:row>8</xdr:row>
      <xdr:rowOff>104775</xdr:rowOff>
    </xdr:to>
    <xdr:sp macro="" textlink="">
      <xdr:nvSpPr>
        <xdr:cNvPr id="2" name="Rectangle 43">
          <a:extLst>
            <a:ext uri="{FF2B5EF4-FFF2-40B4-BE49-F238E27FC236}">
              <a16:creationId xmlns:a16="http://schemas.microsoft.com/office/drawing/2014/main" id="{7A2BECE1-31B9-45F0-9422-195C396C5A41}"/>
            </a:ext>
          </a:extLst>
        </xdr:cNvPr>
        <xdr:cNvSpPr>
          <a:spLocks noChangeArrowheads="1"/>
        </xdr:cNvSpPr>
      </xdr:nvSpPr>
      <xdr:spPr bwMode="auto">
        <a:xfrm>
          <a:off x="5943600" y="609600"/>
          <a:ext cx="1501775" cy="11430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テストモジュールA</a:t>
          </a:r>
        </a:p>
      </xdr:txBody>
    </xdr:sp>
    <xdr:clientData/>
  </xdr:twoCellAnchor>
  <xdr:twoCellAnchor>
    <xdr:from>
      <xdr:col>5</xdr:col>
      <xdr:colOff>333375</xdr:colOff>
      <xdr:row>3</xdr:row>
      <xdr:rowOff>0</xdr:rowOff>
    </xdr:from>
    <xdr:to>
      <xdr:col>7</xdr:col>
      <xdr:colOff>463550</xdr:colOff>
      <xdr:row>8</xdr:row>
      <xdr:rowOff>149225</xdr:rowOff>
    </xdr:to>
    <xdr:sp macro="" textlink="">
      <xdr:nvSpPr>
        <xdr:cNvPr id="3" name="Rectangle 44">
          <a:extLst>
            <a:ext uri="{FF2B5EF4-FFF2-40B4-BE49-F238E27FC236}">
              <a16:creationId xmlns:a16="http://schemas.microsoft.com/office/drawing/2014/main" id="{D53AF78A-81B3-4032-AD3D-2C3DCCF09496}"/>
            </a:ext>
          </a:extLst>
        </xdr:cNvPr>
        <xdr:cNvSpPr>
          <a:spLocks noChangeArrowheads="1"/>
        </xdr:cNvSpPr>
      </xdr:nvSpPr>
      <xdr:spPr bwMode="auto">
        <a:xfrm>
          <a:off x="8039100" y="647700"/>
          <a:ext cx="1501775" cy="1149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テスト対象回路</a:t>
          </a:r>
        </a:p>
      </xdr:txBody>
    </xdr:sp>
    <xdr:clientData/>
  </xdr:twoCellAnchor>
  <xdr:twoCellAnchor>
    <xdr:from>
      <xdr:col>8</xdr:col>
      <xdr:colOff>342900</xdr:colOff>
      <xdr:row>2</xdr:row>
      <xdr:rowOff>190500</xdr:rowOff>
    </xdr:from>
    <xdr:to>
      <xdr:col>10</xdr:col>
      <xdr:colOff>473075</xdr:colOff>
      <xdr:row>8</xdr:row>
      <xdr:rowOff>139700</xdr:rowOff>
    </xdr:to>
    <xdr:sp macro="" textlink="">
      <xdr:nvSpPr>
        <xdr:cNvPr id="4" name="Rectangle 45">
          <a:extLst>
            <a:ext uri="{FF2B5EF4-FFF2-40B4-BE49-F238E27FC236}">
              <a16:creationId xmlns:a16="http://schemas.microsoft.com/office/drawing/2014/main" id="{C7C31A73-1D6C-464A-96A9-A881366BB3F1}"/>
            </a:ext>
          </a:extLst>
        </xdr:cNvPr>
        <xdr:cNvSpPr>
          <a:spLocks noChangeArrowheads="1"/>
        </xdr:cNvSpPr>
      </xdr:nvSpPr>
      <xdr:spPr bwMode="auto">
        <a:xfrm>
          <a:off x="10106025" y="638175"/>
          <a:ext cx="1501775" cy="114935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テストモジュールＢ</a:t>
          </a:r>
        </a:p>
      </xdr:txBody>
    </xdr:sp>
    <xdr:clientData/>
  </xdr:twoCellAnchor>
  <xdr:twoCellAnchor>
    <xdr:from>
      <xdr:col>4</xdr:col>
      <xdr:colOff>1406525</xdr:colOff>
      <xdr:row>5</xdr:row>
      <xdr:rowOff>47625</xdr:rowOff>
    </xdr:from>
    <xdr:to>
      <xdr:col>5</xdr:col>
      <xdr:colOff>323850</xdr:colOff>
      <xdr:row>5</xdr:row>
      <xdr:rowOff>47625</xdr:rowOff>
    </xdr:to>
    <xdr:sp macro="" textlink="">
      <xdr:nvSpPr>
        <xdr:cNvPr id="5" name="Line 46">
          <a:extLst>
            <a:ext uri="{FF2B5EF4-FFF2-40B4-BE49-F238E27FC236}">
              <a16:creationId xmlns:a16="http://schemas.microsoft.com/office/drawing/2014/main" id="{D5520187-8FBD-4BA5-8AA4-7846F868DD85}"/>
            </a:ext>
          </a:extLst>
        </xdr:cNvPr>
        <xdr:cNvSpPr>
          <a:spLocks noChangeShapeType="1"/>
        </xdr:cNvSpPr>
      </xdr:nvSpPr>
      <xdr:spPr bwMode="auto">
        <a:xfrm>
          <a:off x="7454900" y="1095375"/>
          <a:ext cx="5746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463550</xdr:colOff>
      <xdr:row>5</xdr:row>
      <xdr:rowOff>47625</xdr:rowOff>
    </xdr:from>
    <xdr:to>
      <xdr:col>8</xdr:col>
      <xdr:colOff>352425</xdr:colOff>
      <xdr:row>5</xdr:row>
      <xdr:rowOff>47625</xdr:rowOff>
    </xdr:to>
    <xdr:sp macro="" textlink="">
      <xdr:nvSpPr>
        <xdr:cNvPr id="6" name="Line 47">
          <a:extLst>
            <a:ext uri="{FF2B5EF4-FFF2-40B4-BE49-F238E27FC236}">
              <a16:creationId xmlns:a16="http://schemas.microsoft.com/office/drawing/2014/main" id="{9468274D-F66D-40EA-B2E0-5CE4E05F099D}"/>
            </a:ext>
          </a:extLst>
        </xdr:cNvPr>
        <xdr:cNvSpPr>
          <a:spLocks noChangeShapeType="1"/>
        </xdr:cNvSpPr>
      </xdr:nvSpPr>
      <xdr:spPr bwMode="auto">
        <a:xfrm>
          <a:off x="9540875" y="1095375"/>
          <a:ext cx="5746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1168400</xdr:colOff>
      <xdr:row>8</xdr:row>
      <xdr:rowOff>104775</xdr:rowOff>
    </xdr:from>
    <xdr:to>
      <xdr:col>8</xdr:col>
      <xdr:colOff>552450</xdr:colOff>
      <xdr:row>9</xdr:row>
      <xdr:rowOff>146050</xdr:rowOff>
    </xdr:to>
    <xdr:sp macro="" textlink="">
      <xdr:nvSpPr>
        <xdr:cNvPr id="7" name="Freeform 48">
          <a:extLst>
            <a:ext uri="{FF2B5EF4-FFF2-40B4-BE49-F238E27FC236}">
              <a16:creationId xmlns:a16="http://schemas.microsoft.com/office/drawing/2014/main" id="{D68B071E-FC57-41BF-9BE7-A39D52127C3B}"/>
            </a:ext>
          </a:extLst>
        </xdr:cNvPr>
        <xdr:cNvSpPr>
          <a:spLocks/>
        </xdr:cNvSpPr>
      </xdr:nvSpPr>
      <xdr:spPr bwMode="auto">
        <a:xfrm>
          <a:off x="7216775" y="1752600"/>
          <a:ext cx="3098800" cy="241300"/>
        </a:xfrm>
        <a:custGeom>
          <a:avLst/>
          <a:gdLst>
            <a:gd name="T0" fmla="*/ 0 w 324"/>
            <a:gd name="T1" fmla="*/ 0 h 24"/>
            <a:gd name="T2" fmla="*/ 0 w 324"/>
            <a:gd name="T3" fmla="*/ 24 h 24"/>
            <a:gd name="T4" fmla="*/ 324 w 324"/>
            <a:gd name="T5" fmla="*/ 24 h 24"/>
            <a:gd name="T6" fmla="*/ 324 w 324"/>
            <a:gd name="T7" fmla="*/ 4 h 24"/>
          </a:gdLst>
          <a:ahLst/>
          <a:cxnLst>
            <a:cxn ang="0">
              <a:pos x="T0" y="T1"/>
            </a:cxn>
            <a:cxn ang="0">
              <a:pos x="T2" y="T3"/>
            </a:cxn>
            <a:cxn ang="0">
              <a:pos x="T4" y="T5"/>
            </a:cxn>
            <a:cxn ang="0">
              <a:pos x="T6" y="T7"/>
            </a:cxn>
          </a:cxnLst>
          <a:rect l="0" t="0" r="r" b="b"/>
          <a:pathLst>
            <a:path w="324" h="24">
              <a:moveTo>
                <a:pt x="0" y="0"/>
              </a:moveTo>
              <a:lnTo>
                <a:pt x="0" y="24"/>
              </a:lnTo>
              <a:lnTo>
                <a:pt x="324" y="24"/>
              </a:lnTo>
              <a:lnTo>
                <a:pt x="324" y="4"/>
              </a:lnTo>
            </a:path>
          </a:pathLst>
        </a:custGeom>
        <a:noFill/>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1416050</xdr:colOff>
      <xdr:row>7</xdr:row>
      <xdr:rowOff>161925</xdr:rowOff>
    </xdr:from>
    <xdr:to>
      <xdr:col>5</xdr:col>
      <xdr:colOff>647700</xdr:colOff>
      <xdr:row>14</xdr:row>
      <xdr:rowOff>92075</xdr:rowOff>
    </xdr:to>
    <xdr:sp macro="" textlink="">
      <xdr:nvSpPr>
        <xdr:cNvPr id="8" name="Line 50">
          <a:extLst>
            <a:ext uri="{FF2B5EF4-FFF2-40B4-BE49-F238E27FC236}">
              <a16:creationId xmlns:a16="http://schemas.microsoft.com/office/drawing/2014/main" id="{584140D6-039C-4D34-8D79-028175F87F11}"/>
            </a:ext>
          </a:extLst>
        </xdr:cNvPr>
        <xdr:cNvSpPr>
          <a:spLocks noChangeShapeType="1"/>
        </xdr:cNvSpPr>
      </xdr:nvSpPr>
      <xdr:spPr bwMode="auto">
        <a:xfrm flipH="1">
          <a:off x="7464425" y="1609725"/>
          <a:ext cx="889000" cy="13303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1320800</xdr:colOff>
      <xdr:row>14</xdr:row>
      <xdr:rowOff>139700</xdr:rowOff>
    </xdr:from>
    <xdr:to>
      <xdr:col>6</xdr:col>
      <xdr:colOff>136525</xdr:colOff>
      <xdr:row>15</xdr:row>
      <xdr:rowOff>161925</xdr:rowOff>
    </xdr:to>
    <xdr:sp macro="" textlink="">
      <xdr:nvSpPr>
        <xdr:cNvPr id="9" name="Text Box 51">
          <a:extLst>
            <a:ext uri="{FF2B5EF4-FFF2-40B4-BE49-F238E27FC236}">
              <a16:creationId xmlns:a16="http://schemas.microsoft.com/office/drawing/2014/main" id="{85D731C3-6D0B-46A2-B47D-3E606A19BA8A}"/>
            </a:ext>
          </a:extLst>
        </xdr:cNvPr>
        <xdr:cNvSpPr txBox="1">
          <a:spLocks noChangeArrowheads="1"/>
        </xdr:cNvSpPr>
      </xdr:nvSpPr>
      <xdr:spPr bwMode="auto">
        <a:xfrm>
          <a:off x="7369175" y="2987675"/>
          <a:ext cx="1158875"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i_top.target.aaa</a:t>
          </a:r>
        </a:p>
      </xdr:txBody>
    </xdr:sp>
    <xdr:clientData/>
  </xdr:twoCellAnchor>
  <xdr:twoCellAnchor>
    <xdr:from>
      <xdr:col>5</xdr:col>
      <xdr:colOff>152400</xdr:colOff>
      <xdr:row>16</xdr:row>
      <xdr:rowOff>76200</xdr:rowOff>
    </xdr:from>
    <xdr:to>
      <xdr:col>6</xdr:col>
      <xdr:colOff>622300</xdr:colOff>
      <xdr:row>17</xdr:row>
      <xdr:rowOff>98425</xdr:rowOff>
    </xdr:to>
    <xdr:sp macro="" textlink="">
      <xdr:nvSpPr>
        <xdr:cNvPr id="10" name="Text Box 52">
          <a:extLst>
            <a:ext uri="{FF2B5EF4-FFF2-40B4-BE49-F238E27FC236}">
              <a16:creationId xmlns:a16="http://schemas.microsoft.com/office/drawing/2014/main" id="{DAF99F0E-D0CB-42A0-9A53-EC7F5A87CD15}"/>
            </a:ext>
          </a:extLst>
        </xdr:cNvPr>
        <xdr:cNvSpPr txBox="1">
          <a:spLocks noChangeArrowheads="1"/>
        </xdr:cNvSpPr>
      </xdr:nvSpPr>
      <xdr:spPr bwMode="auto">
        <a:xfrm>
          <a:off x="7858125" y="3324225"/>
          <a:ext cx="1155700" cy="222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i_top.target.bbb</a:t>
          </a:r>
        </a:p>
      </xdr:txBody>
    </xdr:sp>
    <xdr:clientData/>
  </xdr:twoCellAnchor>
  <xdr:twoCellAnchor>
    <xdr:from>
      <xdr:col>6</xdr:col>
      <xdr:colOff>9525</xdr:colOff>
      <xdr:row>7</xdr:row>
      <xdr:rowOff>152400</xdr:rowOff>
    </xdr:from>
    <xdr:to>
      <xdr:col>6</xdr:col>
      <xdr:colOff>517525</xdr:colOff>
      <xdr:row>16</xdr:row>
      <xdr:rowOff>28575</xdr:rowOff>
    </xdr:to>
    <xdr:sp macro="" textlink="">
      <xdr:nvSpPr>
        <xdr:cNvPr id="11" name="Line 53">
          <a:extLst>
            <a:ext uri="{FF2B5EF4-FFF2-40B4-BE49-F238E27FC236}">
              <a16:creationId xmlns:a16="http://schemas.microsoft.com/office/drawing/2014/main" id="{5E294625-DE4B-4ECC-9248-C72CF8E75978}"/>
            </a:ext>
          </a:extLst>
        </xdr:cNvPr>
        <xdr:cNvSpPr>
          <a:spLocks noChangeShapeType="1"/>
        </xdr:cNvSpPr>
      </xdr:nvSpPr>
      <xdr:spPr bwMode="auto">
        <a:xfrm flipH="1">
          <a:off x="8401050" y="1600200"/>
          <a:ext cx="508000" cy="1676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146050</xdr:colOff>
      <xdr:row>17</xdr:row>
      <xdr:rowOff>174625</xdr:rowOff>
    </xdr:from>
    <xdr:to>
      <xdr:col>7</xdr:col>
      <xdr:colOff>615950</xdr:colOff>
      <xdr:row>18</xdr:row>
      <xdr:rowOff>190500</xdr:rowOff>
    </xdr:to>
    <xdr:sp macro="" textlink="">
      <xdr:nvSpPr>
        <xdr:cNvPr id="12" name="Text Box 54">
          <a:extLst>
            <a:ext uri="{FF2B5EF4-FFF2-40B4-BE49-F238E27FC236}">
              <a16:creationId xmlns:a16="http://schemas.microsoft.com/office/drawing/2014/main" id="{A1391CCD-9FC1-4F86-B7D9-1BC85E18C3C0}"/>
            </a:ext>
          </a:extLst>
        </xdr:cNvPr>
        <xdr:cNvSpPr txBox="1">
          <a:spLocks noChangeArrowheads="1"/>
        </xdr:cNvSpPr>
      </xdr:nvSpPr>
      <xdr:spPr bwMode="auto">
        <a:xfrm>
          <a:off x="8537575" y="3622675"/>
          <a:ext cx="1155700" cy="215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i_top.target.ccc</a:t>
          </a:r>
        </a:p>
      </xdr:txBody>
    </xdr:sp>
    <xdr:clientData/>
  </xdr:twoCellAnchor>
  <xdr:twoCellAnchor>
    <xdr:from>
      <xdr:col>6</xdr:col>
      <xdr:colOff>650875</xdr:colOff>
      <xdr:row>7</xdr:row>
      <xdr:rowOff>152400</xdr:rowOff>
    </xdr:from>
    <xdr:to>
      <xdr:col>7</xdr:col>
      <xdr:colOff>244475</xdr:colOff>
      <xdr:row>18</xdr:row>
      <xdr:rowOff>12700</xdr:rowOff>
    </xdr:to>
    <xdr:sp macro="" textlink="">
      <xdr:nvSpPr>
        <xdr:cNvPr id="13" name="Line 55">
          <a:extLst>
            <a:ext uri="{FF2B5EF4-FFF2-40B4-BE49-F238E27FC236}">
              <a16:creationId xmlns:a16="http://schemas.microsoft.com/office/drawing/2014/main" id="{B9E19205-C932-4CC3-9FF9-7675D8CDBEE8}"/>
            </a:ext>
          </a:extLst>
        </xdr:cNvPr>
        <xdr:cNvSpPr>
          <a:spLocks noChangeShapeType="1"/>
        </xdr:cNvSpPr>
      </xdr:nvSpPr>
      <xdr:spPr bwMode="auto">
        <a:xfrm flipH="1">
          <a:off x="9042400" y="1600200"/>
          <a:ext cx="279400" cy="20605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81AA-3A74-488A-A7AC-CCEB16078C41}">
  <dimension ref="A1:B25"/>
  <sheetViews>
    <sheetView tabSelected="1" workbookViewId="0">
      <selection activeCell="L16" sqref="L16"/>
    </sheetView>
  </sheetViews>
  <sheetFormatPr defaultColWidth="4.5" defaultRowHeight="15.75" x14ac:dyDescent="0.25"/>
  <cols>
    <col min="1" max="16384" width="4.5" style="2"/>
  </cols>
  <sheetData>
    <row r="1" spans="1:2" ht="19.5" x14ac:dyDescent="0.3">
      <c r="A1" s="1" t="s">
        <v>17</v>
      </c>
    </row>
    <row r="2" spans="1:2" ht="19.5" x14ac:dyDescent="0.3">
      <c r="A2" s="1"/>
      <c r="B2" s="2" t="s">
        <v>2124</v>
      </c>
    </row>
    <row r="3" spans="1:2" x14ac:dyDescent="0.25">
      <c r="B3" s="2" t="s">
        <v>319</v>
      </c>
    </row>
    <row r="4" spans="1:2" x14ac:dyDescent="0.25">
      <c r="B4" s="2" t="s">
        <v>574</v>
      </c>
    </row>
    <row r="5" spans="1:2" x14ac:dyDescent="0.25">
      <c r="B5" s="2" t="s">
        <v>2125</v>
      </c>
    </row>
    <row r="6" spans="1:2" x14ac:dyDescent="0.25">
      <c r="B6" s="2" t="s">
        <v>817</v>
      </c>
    </row>
    <row r="7" spans="1:2" x14ac:dyDescent="0.25">
      <c r="B7" s="2" t="s">
        <v>366</v>
      </c>
    </row>
    <row r="8" spans="1:2" x14ac:dyDescent="0.25">
      <c r="B8" s="2" t="s">
        <v>936</v>
      </c>
    </row>
    <row r="9" spans="1:2" x14ac:dyDescent="0.25">
      <c r="B9" s="2" t="s">
        <v>990</v>
      </c>
    </row>
    <row r="10" spans="1:2" x14ac:dyDescent="0.25">
      <c r="B10" s="2" t="s">
        <v>2126</v>
      </c>
    </row>
    <row r="11" spans="1:2" x14ac:dyDescent="0.25">
      <c r="B11" s="2" t="s">
        <v>534</v>
      </c>
    </row>
    <row r="12" spans="1:2" x14ac:dyDescent="0.25">
      <c r="B12" s="2" t="s">
        <v>1114</v>
      </c>
    </row>
    <row r="13" spans="1:2" x14ac:dyDescent="0.25">
      <c r="B13" s="2" t="s">
        <v>2127</v>
      </c>
    </row>
    <row r="14" spans="1:2" x14ac:dyDescent="0.25">
      <c r="B14" s="2" t="s">
        <v>2128</v>
      </c>
    </row>
    <row r="15" spans="1:2" x14ac:dyDescent="0.25">
      <c r="B15" s="2" t="s">
        <v>2129</v>
      </c>
    </row>
    <row r="16" spans="1:2" x14ac:dyDescent="0.25">
      <c r="B16" s="2" t="s">
        <v>2130</v>
      </c>
    </row>
    <row r="17" spans="2:2" x14ac:dyDescent="0.25">
      <c r="B17" s="2" t="s">
        <v>2131</v>
      </c>
    </row>
    <row r="18" spans="2:2" x14ac:dyDescent="0.25">
      <c r="B18" s="2" t="s">
        <v>2132</v>
      </c>
    </row>
    <row r="19" spans="2:2" x14ac:dyDescent="0.25">
      <c r="B19" s="2" t="s">
        <v>2133</v>
      </c>
    </row>
    <row r="20" spans="2:2" x14ac:dyDescent="0.25">
      <c r="B20" s="2" t="s">
        <v>2134</v>
      </c>
    </row>
    <row r="21" spans="2:2" x14ac:dyDescent="0.25">
      <c r="B21" s="2" t="s">
        <v>2135</v>
      </c>
    </row>
    <row r="22" spans="2:2" x14ac:dyDescent="0.25">
      <c r="B22" s="2" t="s">
        <v>2136</v>
      </c>
    </row>
    <row r="23" spans="2:2" x14ac:dyDescent="0.25">
      <c r="B23" s="2" t="s">
        <v>2137</v>
      </c>
    </row>
    <row r="24" spans="2:2" x14ac:dyDescent="0.25">
      <c r="B24" s="2" t="s">
        <v>2138</v>
      </c>
    </row>
    <row r="25" spans="2:2" x14ac:dyDescent="0.25">
      <c r="B25" s="2" t="s">
        <v>2139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5F5D-5310-478A-BFC7-ECD34E4782C4}">
  <dimension ref="A1:F22"/>
  <sheetViews>
    <sheetView zoomScale="115" zoomScaleNormal="115" workbookViewId="0">
      <selection activeCell="D21" sqref="D21"/>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t="s">
        <v>317</v>
      </c>
      <c r="B1" s="4"/>
      <c r="C1" s="4"/>
      <c r="D1" s="4"/>
      <c r="E1" s="4"/>
      <c r="F1" s="5"/>
    </row>
    <row r="2" spans="1:6" s="3" customFormat="1" ht="19.5" x14ac:dyDescent="0.3">
      <c r="A2" s="1"/>
      <c r="B2" s="4"/>
      <c r="C2" s="4"/>
      <c r="D2" s="4"/>
      <c r="E2" s="4"/>
      <c r="F2" s="5"/>
    </row>
    <row r="3" spans="1:6" x14ac:dyDescent="0.25">
      <c r="A3" s="3" t="s">
        <v>314</v>
      </c>
    </row>
    <row r="4" spans="1:6" x14ac:dyDescent="0.25">
      <c r="B4" s="4" t="s">
        <v>299</v>
      </c>
    </row>
    <row r="5" spans="1:6" x14ac:dyDescent="0.25">
      <c r="B5" s="4" t="s">
        <v>300</v>
      </c>
    </row>
    <row r="7" spans="1:6" x14ac:dyDescent="0.25">
      <c r="A7" s="3" t="s">
        <v>315</v>
      </c>
    </row>
    <row r="8" spans="1:6" x14ac:dyDescent="0.25">
      <c r="B8" s="4" t="s">
        <v>301</v>
      </c>
    </row>
    <row r="9" spans="1:6" x14ac:dyDescent="0.25">
      <c r="B9" s="4" t="s">
        <v>302</v>
      </c>
    </row>
    <row r="10" spans="1:6" x14ac:dyDescent="0.25">
      <c r="B10" s="4" t="s">
        <v>303</v>
      </c>
    </row>
    <row r="11" spans="1:6" x14ac:dyDescent="0.25">
      <c r="B11" s="4" t="s">
        <v>304</v>
      </c>
    </row>
    <row r="12" spans="1:6" x14ac:dyDescent="0.25">
      <c r="B12" s="4" t="s">
        <v>305</v>
      </c>
    </row>
    <row r="13" spans="1:6" x14ac:dyDescent="0.25">
      <c r="B13" s="4" t="s">
        <v>306</v>
      </c>
    </row>
    <row r="14" spans="1:6" x14ac:dyDescent="0.25">
      <c r="B14" s="4" t="s">
        <v>307</v>
      </c>
    </row>
    <row r="15" spans="1:6" x14ac:dyDescent="0.25">
      <c r="B15" s="4" t="s">
        <v>308</v>
      </c>
    </row>
    <row r="16" spans="1:6" x14ac:dyDescent="0.25">
      <c r="B16" s="4" t="s">
        <v>309</v>
      </c>
    </row>
    <row r="18" spans="1:2" x14ac:dyDescent="0.25">
      <c r="A18" s="3" t="s">
        <v>316</v>
      </c>
    </row>
    <row r="19" spans="1:2" x14ac:dyDescent="0.25">
      <c r="B19" s="4" t="s">
        <v>310</v>
      </c>
    </row>
    <row r="20" spans="1:2" x14ac:dyDescent="0.25">
      <c r="B20" s="4" t="s">
        <v>311</v>
      </c>
    </row>
    <row r="21" spans="1:2" x14ac:dyDescent="0.25">
      <c r="B21" s="4" t="s">
        <v>312</v>
      </c>
    </row>
    <row r="22" spans="1:2" x14ac:dyDescent="0.25">
      <c r="B22" s="4" t="s">
        <v>313</v>
      </c>
    </row>
  </sheetData>
  <phoneticPr fontId="1"/>
  <pageMargins left="0.75" right="0.35" top="1" bottom="1" header="0.51200000000000001" footer="0.51200000000000001"/>
  <pageSetup paperSize="9" scale="8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09B0-AA66-484F-A5DF-F7DF3A38D154}">
  <dimension ref="A1:F132"/>
  <sheetViews>
    <sheetView zoomScaleNormal="100" workbookViewId="0">
      <selection activeCell="C139" sqref="C139"/>
    </sheetView>
  </sheetViews>
  <sheetFormatPr defaultRowHeight="15.75" x14ac:dyDescent="0.25"/>
  <cols>
    <col min="1" max="1" width="3.25" style="3" customWidth="1"/>
    <col min="2" max="2" width="17.75" style="4" bestFit="1" customWidth="1"/>
    <col min="3" max="3" width="57.5" style="4" bestFit="1" customWidth="1"/>
    <col min="4" max="4" width="32.25" style="4" bestFit="1" customWidth="1"/>
    <col min="5" max="5" width="21.75" style="4" customWidth="1"/>
    <col min="6" max="6" width="9" style="4"/>
    <col min="7" max="16384" width="9" style="2"/>
  </cols>
  <sheetData>
    <row r="1" spans="1:6" s="3" customFormat="1" ht="19.5" x14ac:dyDescent="0.3">
      <c r="A1" s="1" t="s">
        <v>319</v>
      </c>
      <c r="B1" s="4"/>
      <c r="C1" s="4"/>
      <c r="D1" s="4"/>
      <c r="E1" s="4"/>
      <c r="F1" s="5"/>
    </row>
    <row r="3" spans="1:6" x14ac:dyDescent="0.25">
      <c r="A3" s="3" t="s">
        <v>318</v>
      </c>
    </row>
    <row r="4" spans="1:6" x14ac:dyDescent="0.25">
      <c r="B4" s="6" t="s">
        <v>320</v>
      </c>
      <c r="C4" s="6" t="s">
        <v>321</v>
      </c>
      <c r="D4" s="6" t="s">
        <v>322</v>
      </c>
    </row>
    <row r="5" spans="1:6" x14ac:dyDescent="0.25">
      <c r="B5" s="6" t="s">
        <v>18</v>
      </c>
      <c r="C5" s="6" t="s">
        <v>323</v>
      </c>
      <c r="D5" s="6" t="s">
        <v>324</v>
      </c>
    </row>
    <row r="6" spans="1:6" x14ac:dyDescent="0.25">
      <c r="B6" s="6" t="s">
        <v>27</v>
      </c>
      <c r="C6" s="6" t="s">
        <v>325</v>
      </c>
      <c r="D6" s="6" t="s">
        <v>326</v>
      </c>
    </row>
    <row r="7" spans="1:6" x14ac:dyDescent="0.25">
      <c r="B7" s="6" t="s">
        <v>327</v>
      </c>
      <c r="C7" s="6" t="s">
        <v>328</v>
      </c>
      <c r="D7" s="6" t="s">
        <v>329</v>
      </c>
    </row>
    <row r="8" spans="1:6" x14ac:dyDescent="0.25">
      <c r="B8" s="6" t="s">
        <v>330</v>
      </c>
      <c r="C8" s="6" t="s">
        <v>328</v>
      </c>
      <c r="D8" s="6" t="s">
        <v>331</v>
      </c>
    </row>
    <row r="9" spans="1:6" x14ac:dyDescent="0.25">
      <c r="B9" s="6" t="s">
        <v>332</v>
      </c>
      <c r="C9" s="6" t="s">
        <v>328</v>
      </c>
      <c r="D9" s="6" t="s">
        <v>333</v>
      </c>
    </row>
    <row r="10" spans="1:6" x14ac:dyDescent="0.25">
      <c r="B10" s="6" t="s">
        <v>334</v>
      </c>
      <c r="C10" s="6" t="s">
        <v>335</v>
      </c>
      <c r="D10" s="6" t="s">
        <v>336</v>
      </c>
    </row>
    <row r="11" spans="1:6" x14ac:dyDescent="0.25">
      <c r="B11" s="6" t="s">
        <v>337</v>
      </c>
      <c r="C11" s="6" t="s">
        <v>338</v>
      </c>
      <c r="D11" s="6" t="s">
        <v>339</v>
      </c>
    </row>
    <row r="12" spans="1:6" x14ac:dyDescent="0.25">
      <c r="B12" s="6" t="s">
        <v>340</v>
      </c>
      <c r="C12" s="6" t="s">
        <v>341</v>
      </c>
      <c r="D12" s="6" t="s">
        <v>342</v>
      </c>
    </row>
    <row r="13" spans="1:6" x14ac:dyDescent="0.25">
      <c r="B13" s="6" t="s">
        <v>343</v>
      </c>
      <c r="C13" s="6" t="s">
        <v>344</v>
      </c>
      <c r="D13" s="6" t="s">
        <v>345</v>
      </c>
    </row>
    <row r="14" spans="1:6" x14ac:dyDescent="0.25">
      <c r="B14" s="6" t="s">
        <v>346</v>
      </c>
      <c r="C14" s="6" t="s">
        <v>347</v>
      </c>
      <c r="D14" s="6" t="s">
        <v>348</v>
      </c>
    </row>
    <row r="15" spans="1:6" x14ac:dyDescent="0.25">
      <c r="B15" s="6" t="s">
        <v>349</v>
      </c>
      <c r="C15" s="6" t="s">
        <v>350</v>
      </c>
      <c r="D15" s="6" t="s">
        <v>351</v>
      </c>
    </row>
    <row r="16" spans="1:6" x14ac:dyDescent="0.25">
      <c r="B16" s="6" t="s">
        <v>242</v>
      </c>
      <c r="C16" s="6" t="s">
        <v>352</v>
      </c>
      <c r="D16" s="6" t="s">
        <v>353</v>
      </c>
    </row>
    <row r="17" spans="1:4" x14ac:dyDescent="0.25">
      <c r="B17" s="6" t="s">
        <v>354</v>
      </c>
      <c r="C17" s="6" t="s">
        <v>355</v>
      </c>
      <c r="D17" s="6" t="s">
        <v>356</v>
      </c>
    </row>
    <row r="18" spans="1:4" x14ac:dyDescent="0.25">
      <c r="B18" s="6" t="s">
        <v>357</v>
      </c>
      <c r="C18" s="6" t="s">
        <v>358</v>
      </c>
      <c r="D18" s="6" t="s">
        <v>359</v>
      </c>
    </row>
    <row r="20" spans="1:4" x14ac:dyDescent="0.25">
      <c r="A20" s="3" t="s">
        <v>360</v>
      </c>
    </row>
    <row r="21" spans="1:4" x14ac:dyDescent="0.25">
      <c r="B21" s="6" t="s">
        <v>320</v>
      </c>
      <c r="C21" s="6" t="s">
        <v>321</v>
      </c>
      <c r="D21" s="6" t="s">
        <v>322</v>
      </c>
    </row>
    <row r="22" spans="1:4" x14ac:dyDescent="0.25">
      <c r="B22" s="6" t="s">
        <v>361</v>
      </c>
      <c r="C22" s="6" t="s">
        <v>362</v>
      </c>
      <c r="D22" s="6" t="s">
        <v>363</v>
      </c>
    </row>
    <row r="23" spans="1:4" x14ac:dyDescent="0.25">
      <c r="B23" s="6" t="s">
        <v>364</v>
      </c>
      <c r="C23" s="6" t="s">
        <v>365</v>
      </c>
      <c r="D23" s="6" t="s">
        <v>366</v>
      </c>
    </row>
    <row r="24" spans="1:4" x14ac:dyDescent="0.25">
      <c r="B24" s="6" t="s">
        <v>367</v>
      </c>
      <c r="C24" s="6" t="s">
        <v>368</v>
      </c>
      <c r="D24" s="6" t="s">
        <v>369</v>
      </c>
    </row>
    <row r="26" spans="1:4" x14ac:dyDescent="0.25">
      <c r="A26" s="3" t="s">
        <v>370</v>
      </c>
    </row>
    <row r="27" spans="1:4" x14ac:dyDescent="0.25">
      <c r="B27" s="6" t="s">
        <v>320</v>
      </c>
      <c r="C27" s="6" t="s">
        <v>321</v>
      </c>
      <c r="D27" s="6" t="s">
        <v>322</v>
      </c>
    </row>
    <row r="28" spans="1:4" x14ac:dyDescent="0.25">
      <c r="B28" s="6" t="s">
        <v>371</v>
      </c>
      <c r="C28" s="6" t="s">
        <v>372</v>
      </c>
      <c r="D28" s="6" t="s">
        <v>373</v>
      </c>
    </row>
    <row r="29" spans="1:4" x14ac:dyDescent="0.25">
      <c r="B29" s="6" t="s">
        <v>374</v>
      </c>
      <c r="C29" s="6" t="s">
        <v>375</v>
      </c>
      <c r="D29" s="6" t="s">
        <v>376</v>
      </c>
    </row>
    <row r="30" spans="1:4" x14ac:dyDescent="0.25">
      <c r="B30" s="6" t="s">
        <v>377</v>
      </c>
      <c r="C30" s="6" t="s">
        <v>378</v>
      </c>
      <c r="D30" s="6" t="s">
        <v>379</v>
      </c>
    </row>
    <row r="31" spans="1:4" x14ac:dyDescent="0.25">
      <c r="B31" s="6" t="s">
        <v>243</v>
      </c>
      <c r="C31" s="6" t="s">
        <v>380</v>
      </c>
      <c r="D31" s="6" t="s">
        <v>381</v>
      </c>
    </row>
    <row r="32" spans="1:4" x14ac:dyDescent="0.25">
      <c r="B32" s="6" t="s">
        <v>244</v>
      </c>
      <c r="C32" s="6" t="s">
        <v>382</v>
      </c>
      <c r="D32" s="6" t="s">
        <v>383</v>
      </c>
    </row>
    <row r="34" spans="1:4" x14ac:dyDescent="0.25">
      <c r="A34" s="3" t="s">
        <v>384</v>
      </c>
    </row>
    <row r="35" spans="1:4" x14ac:dyDescent="0.25">
      <c r="B35" s="6" t="s">
        <v>320</v>
      </c>
      <c r="C35" s="6" t="s">
        <v>321</v>
      </c>
      <c r="D35" s="6" t="s">
        <v>322</v>
      </c>
    </row>
    <row r="36" spans="1:4" x14ac:dyDescent="0.25">
      <c r="B36" s="6" t="s">
        <v>385</v>
      </c>
      <c r="C36" s="6" t="s">
        <v>386</v>
      </c>
      <c r="D36" s="6" t="s">
        <v>387</v>
      </c>
    </row>
    <row r="37" spans="1:4" x14ac:dyDescent="0.25">
      <c r="B37" s="6" t="s">
        <v>388</v>
      </c>
      <c r="C37" s="6" t="s">
        <v>389</v>
      </c>
      <c r="D37" s="6" t="s">
        <v>390</v>
      </c>
    </row>
    <row r="38" spans="1:4" x14ac:dyDescent="0.25">
      <c r="B38" s="6" t="s">
        <v>391</v>
      </c>
      <c r="C38" s="6" t="s">
        <v>392</v>
      </c>
      <c r="D38" s="6" t="s">
        <v>393</v>
      </c>
    </row>
    <row r="39" spans="1:4" x14ac:dyDescent="0.25">
      <c r="B39" s="6" t="s">
        <v>394</v>
      </c>
      <c r="C39" s="6" t="s">
        <v>395</v>
      </c>
      <c r="D39" s="6" t="s">
        <v>396</v>
      </c>
    </row>
    <row r="40" spans="1:4" x14ac:dyDescent="0.25">
      <c r="B40" s="6" t="s">
        <v>397</v>
      </c>
      <c r="C40" s="6" t="s">
        <v>398</v>
      </c>
      <c r="D40" s="6" t="s">
        <v>393</v>
      </c>
    </row>
    <row r="41" spans="1:4" x14ac:dyDescent="0.25">
      <c r="B41" s="6" t="s">
        <v>397</v>
      </c>
      <c r="C41" s="6" t="s">
        <v>399</v>
      </c>
      <c r="D41" s="6" t="s">
        <v>400</v>
      </c>
    </row>
    <row r="43" spans="1:4" x14ac:dyDescent="0.25">
      <c r="A43" s="3" t="s">
        <v>401</v>
      </c>
    </row>
    <row r="44" spans="1:4" x14ac:dyDescent="0.25">
      <c r="B44" s="6" t="s">
        <v>320</v>
      </c>
      <c r="C44" s="6" t="s">
        <v>321</v>
      </c>
      <c r="D44" s="6" t="s">
        <v>322</v>
      </c>
    </row>
    <row r="45" spans="1:4" x14ac:dyDescent="0.25">
      <c r="B45" s="6" t="s">
        <v>402</v>
      </c>
      <c r="C45" s="6" t="s">
        <v>403</v>
      </c>
      <c r="D45" s="6" t="s">
        <v>404</v>
      </c>
    </row>
    <row r="46" spans="1:4" x14ac:dyDescent="0.25">
      <c r="B46" s="6" t="s">
        <v>405</v>
      </c>
      <c r="C46" s="6" t="s">
        <v>403</v>
      </c>
      <c r="D46" s="6" t="s">
        <v>406</v>
      </c>
    </row>
    <row r="47" spans="1:4" x14ac:dyDescent="0.25">
      <c r="B47" s="6" t="s">
        <v>407</v>
      </c>
      <c r="C47" s="6" t="s">
        <v>16</v>
      </c>
      <c r="D47" s="6" t="s">
        <v>408</v>
      </c>
    </row>
    <row r="48" spans="1:4" x14ac:dyDescent="0.25">
      <c r="B48" s="6" t="s">
        <v>409</v>
      </c>
      <c r="C48" s="6" t="s">
        <v>16</v>
      </c>
      <c r="D48" s="6" t="s">
        <v>410</v>
      </c>
    </row>
    <row r="49" spans="1:4" x14ac:dyDescent="0.25">
      <c r="B49" s="6" t="s">
        <v>411</v>
      </c>
      <c r="C49" s="6" t="s">
        <v>16</v>
      </c>
      <c r="D49" s="6" t="s">
        <v>412</v>
      </c>
    </row>
    <row r="51" spans="1:4" x14ac:dyDescent="0.25">
      <c r="A51" s="3" t="s">
        <v>413</v>
      </c>
    </row>
    <row r="52" spans="1:4" x14ac:dyDescent="0.25">
      <c r="B52" s="6" t="s">
        <v>320</v>
      </c>
      <c r="C52" s="6" t="s">
        <v>321</v>
      </c>
      <c r="D52" s="6" t="s">
        <v>322</v>
      </c>
    </row>
    <row r="53" spans="1:4" x14ac:dyDescent="0.25">
      <c r="B53" s="6" t="s">
        <v>63</v>
      </c>
      <c r="C53" s="6" t="s">
        <v>414</v>
      </c>
      <c r="D53" s="6" t="s">
        <v>415</v>
      </c>
    </row>
    <row r="55" spans="1:4" x14ac:dyDescent="0.25">
      <c r="A55" s="3" t="s">
        <v>416</v>
      </c>
    </row>
    <row r="56" spans="1:4" x14ac:dyDescent="0.25">
      <c r="B56" s="6" t="s">
        <v>320</v>
      </c>
      <c r="C56" s="6" t="s">
        <v>321</v>
      </c>
      <c r="D56" s="6" t="s">
        <v>322</v>
      </c>
    </row>
    <row r="57" spans="1:4" x14ac:dyDescent="0.25">
      <c r="B57" s="6" t="s">
        <v>417</v>
      </c>
      <c r="C57" s="6" t="s">
        <v>245</v>
      </c>
      <c r="D57" s="6" t="s">
        <v>418</v>
      </c>
    </row>
    <row r="58" spans="1:4" x14ac:dyDescent="0.25">
      <c r="B58" s="6" t="s">
        <v>419</v>
      </c>
      <c r="C58" s="6" t="s">
        <v>420</v>
      </c>
      <c r="D58" s="6" t="s">
        <v>421</v>
      </c>
    </row>
    <row r="59" spans="1:4" x14ac:dyDescent="0.25">
      <c r="B59" s="6" t="s">
        <v>422</v>
      </c>
      <c r="C59" s="6" t="s">
        <v>423</v>
      </c>
      <c r="D59" s="6" t="s">
        <v>424</v>
      </c>
    </row>
    <row r="60" spans="1:4" x14ac:dyDescent="0.25">
      <c r="B60" s="6" t="s">
        <v>425</v>
      </c>
      <c r="C60" s="6" t="s">
        <v>426</v>
      </c>
      <c r="D60" s="6" t="s">
        <v>427</v>
      </c>
    </row>
    <row r="61" spans="1:4" x14ac:dyDescent="0.25">
      <c r="B61" s="6" t="s">
        <v>428</v>
      </c>
      <c r="C61" s="6" t="s">
        <v>245</v>
      </c>
      <c r="D61" s="6" t="s">
        <v>429</v>
      </c>
    </row>
    <row r="62" spans="1:4" x14ac:dyDescent="0.25">
      <c r="B62" s="6" t="s">
        <v>182</v>
      </c>
      <c r="C62" s="6" t="s">
        <v>430</v>
      </c>
      <c r="D62" s="6" t="s">
        <v>431</v>
      </c>
    </row>
    <row r="64" spans="1:4" x14ac:dyDescent="0.25">
      <c r="A64" s="3" t="s">
        <v>432</v>
      </c>
    </row>
    <row r="65" spans="2:4" x14ac:dyDescent="0.25">
      <c r="B65" s="6" t="s">
        <v>320</v>
      </c>
      <c r="C65" s="6" t="s">
        <v>321</v>
      </c>
      <c r="D65" s="6" t="s">
        <v>322</v>
      </c>
    </row>
    <row r="66" spans="2:4" x14ac:dyDescent="0.25">
      <c r="B66" s="6" t="s">
        <v>433</v>
      </c>
      <c r="C66" s="6" t="s">
        <v>434</v>
      </c>
      <c r="D66" s="6" t="s">
        <v>435</v>
      </c>
    </row>
    <row r="67" spans="2:4" x14ac:dyDescent="0.25">
      <c r="B67" s="6" t="s">
        <v>1</v>
      </c>
      <c r="C67" s="6" t="s">
        <v>5</v>
      </c>
      <c r="D67" s="6" t="s">
        <v>436</v>
      </c>
    </row>
    <row r="68" spans="2:4" x14ac:dyDescent="0.25">
      <c r="B68" s="6" t="s">
        <v>2</v>
      </c>
      <c r="C68" s="6" t="s">
        <v>437</v>
      </c>
      <c r="D68" s="6" t="s">
        <v>438</v>
      </c>
    </row>
    <row r="69" spans="2:4" x14ac:dyDescent="0.25">
      <c r="B69" s="6" t="s">
        <v>439</v>
      </c>
      <c r="C69" s="6" t="s">
        <v>437</v>
      </c>
      <c r="D69" s="6" t="s">
        <v>440</v>
      </c>
    </row>
    <row r="70" spans="2:4" x14ac:dyDescent="0.25">
      <c r="B70" s="6" t="s">
        <v>441</v>
      </c>
      <c r="C70" s="6" t="s">
        <v>437</v>
      </c>
      <c r="D70" s="6" t="s">
        <v>442</v>
      </c>
    </row>
    <row r="71" spans="2:4" x14ac:dyDescent="0.25">
      <c r="B71" s="6" t="s">
        <v>4</v>
      </c>
      <c r="C71" s="6" t="s">
        <v>16</v>
      </c>
      <c r="D71" s="6" t="s">
        <v>440</v>
      </c>
    </row>
    <row r="72" spans="2:4" x14ac:dyDescent="0.25">
      <c r="B72" s="6" t="s">
        <v>443</v>
      </c>
      <c r="C72" s="6" t="s">
        <v>16</v>
      </c>
      <c r="D72" s="6" t="s">
        <v>442</v>
      </c>
    </row>
    <row r="73" spans="2:4" x14ac:dyDescent="0.25">
      <c r="B73" s="6" t="s">
        <v>3</v>
      </c>
      <c r="C73" s="6" t="s">
        <v>16</v>
      </c>
      <c r="D73" s="6" t="s">
        <v>444</v>
      </c>
    </row>
    <row r="74" spans="2:4" x14ac:dyDescent="0.25">
      <c r="B74" s="6" t="s">
        <v>6</v>
      </c>
      <c r="C74" s="6" t="s">
        <v>445</v>
      </c>
      <c r="D74" s="6" t="s">
        <v>446</v>
      </c>
    </row>
    <row r="75" spans="2:4" x14ac:dyDescent="0.25">
      <c r="B75" s="6" t="s">
        <v>7</v>
      </c>
      <c r="C75" s="6" t="s">
        <v>445</v>
      </c>
      <c r="D75" s="6" t="s">
        <v>447</v>
      </c>
    </row>
    <row r="76" spans="2:4" x14ac:dyDescent="0.25">
      <c r="B76" s="6" t="s">
        <v>8</v>
      </c>
      <c r="C76" s="6" t="s">
        <v>445</v>
      </c>
      <c r="D76" s="6" t="s">
        <v>448</v>
      </c>
    </row>
    <row r="77" spans="2:4" x14ac:dyDescent="0.25">
      <c r="B77" s="6" t="s">
        <v>449</v>
      </c>
      <c r="C77" s="6" t="s">
        <v>450</v>
      </c>
      <c r="D77" s="6" t="s">
        <v>451</v>
      </c>
    </row>
    <row r="78" spans="2:4" x14ac:dyDescent="0.25">
      <c r="B78" s="6" t="s">
        <v>452</v>
      </c>
      <c r="C78" s="6" t="s">
        <v>453</v>
      </c>
      <c r="D78" s="6" t="s">
        <v>454</v>
      </c>
    </row>
    <row r="79" spans="2:4" x14ac:dyDescent="0.25">
      <c r="B79" s="6" t="s">
        <v>455</v>
      </c>
      <c r="C79" s="6" t="s">
        <v>456</v>
      </c>
      <c r="D79" s="6" t="s">
        <v>457</v>
      </c>
    </row>
    <row r="80" spans="2:4" x14ac:dyDescent="0.25">
      <c r="B80" s="6" t="s">
        <v>9</v>
      </c>
      <c r="C80" s="6" t="s">
        <v>458</v>
      </c>
      <c r="D80" s="6" t="s">
        <v>459</v>
      </c>
    </row>
    <row r="81" spans="1:4" x14ac:dyDescent="0.25">
      <c r="B81" s="6" t="s">
        <v>244</v>
      </c>
      <c r="C81" s="6" t="s">
        <v>382</v>
      </c>
      <c r="D81" s="6" t="s">
        <v>460</v>
      </c>
    </row>
    <row r="82" spans="1:4" x14ac:dyDescent="0.25">
      <c r="B82" s="6" t="s">
        <v>247</v>
      </c>
      <c r="C82" s="6" t="s">
        <v>382</v>
      </c>
      <c r="D82" s="6" t="s">
        <v>461</v>
      </c>
    </row>
    <row r="84" spans="1:4" x14ac:dyDescent="0.25">
      <c r="A84" s="3" t="s">
        <v>462</v>
      </c>
    </row>
    <row r="85" spans="1:4" x14ac:dyDescent="0.25">
      <c r="B85" s="6" t="s">
        <v>320</v>
      </c>
      <c r="C85" s="6" t="s">
        <v>321</v>
      </c>
      <c r="D85" s="6" t="s">
        <v>322</v>
      </c>
    </row>
    <row r="86" spans="1:4" x14ac:dyDescent="0.25">
      <c r="B86" s="6" t="s">
        <v>119</v>
      </c>
      <c r="C86" s="6" t="s">
        <v>463</v>
      </c>
      <c r="D86" s="6" t="s">
        <v>464</v>
      </c>
    </row>
    <row r="87" spans="1:4" x14ac:dyDescent="0.25">
      <c r="B87" s="6" t="s">
        <v>397</v>
      </c>
      <c r="C87" s="6" t="s">
        <v>398</v>
      </c>
      <c r="D87" s="6" t="s">
        <v>393</v>
      </c>
    </row>
    <row r="88" spans="1:4" x14ac:dyDescent="0.25">
      <c r="B88" s="6" t="s">
        <v>397</v>
      </c>
      <c r="C88" s="6" t="s">
        <v>399</v>
      </c>
      <c r="D88" s="6" t="s">
        <v>400</v>
      </c>
    </row>
    <row r="89" spans="1:4" x14ac:dyDescent="0.25">
      <c r="B89" s="6" t="s">
        <v>465</v>
      </c>
      <c r="C89" s="6" t="s">
        <v>466</v>
      </c>
      <c r="D89" s="6" t="s">
        <v>467</v>
      </c>
    </row>
    <row r="90" spans="1:4" x14ac:dyDescent="0.25">
      <c r="B90" s="6" t="s">
        <v>468</v>
      </c>
      <c r="C90" s="6" t="s">
        <v>469</v>
      </c>
      <c r="D90" s="6" t="s">
        <v>470</v>
      </c>
    </row>
    <row r="91" spans="1:4" x14ac:dyDescent="0.25">
      <c r="B91" s="6" t="s">
        <v>1</v>
      </c>
      <c r="C91" s="6" t="s">
        <v>5</v>
      </c>
      <c r="D91" s="6" t="s">
        <v>436</v>
      </c>
    </row>
    <row r="92" spans="1:4" x14ac:dyDescent="0.25">
      <c r="B92" s="6" t="s">
        <v>2</v>
      </c>
      <c r="C92" s="6" t="s">
        <v>437</v>
      </c>
      <c r="D92" s="6" t="s">
        <v>437</v>
      </c>
    </row>
    <row r="93" spans="1:4" x14ac:dyDescent="0.25">
      <c r="B93" s="6" t="s">
        <v>439</v>
      </c>
      <c r="C93" s="6" t="s">
        <v>437</v>
      </c>
      <c r="D93" s="6" t="s">
        <v>440</v>
      </c>
    </row>
    <row r="94" spans="1:4" x14ac:dyDescent="0.25">
      <c r="B94" s="6" t="s">
        <v>441</v>
      </c>
      <c r="C94" s="6" t="s">
        <v>437</v>
      </c>
      <c r="D94" s="6" t="s">
        <v>442</v>
      </c>
    </row>
    <row r="95" spans="1:4" x14ac:dyDescent="0.25">
      <c r="B95" s="6" t="s">
        <v>4</v>
      </c>
      <c r="C95" s="6" t="s">
        <v>16</v>
      </c>
      <c r="D95" s="6" t="s">
        <v>440</v>
      </c>
    </row>
    <row r="96" spans="1:4" x14ac:dyDescent="0.25">
      <c r="B96" s="6" t="s">
        <v>443</v>
      </c>
      <c r="C96" s="6" t="s">
        <v>16</v>
      </c>
      <c r="D96" s="6" t="s">
        <v>442</v>
      </c>
    </row>
    <row r="97" spans="1:4" x14ac:dyDescent="0.25">
      <c r="B97" s="6" t="s">
        <v>3</v>
      </c>
      <c r="C97" s="6" t="s">
        <v>16</v>
      </c>
      <c r="D97" s="6" t="s">
        <v>444</v>
      </c>
    </row>
    <row r="98" spans="1:4" x14ac:dyDescent="0.25">
      <c r="B98" s="6" t="s">
        <v>6</v>
      </c>
      <c r="C98" s="6" t="s">
        <v>445</v>
      </c>
      <c r="D98" s="6" t="s">
        <v>446</v>
      </c>
    </row>
    <row r="99" spans="1:4" x14ac:dyDescent="0.25">
      <c r="B99" s="6" t="s">
        <v>7</v>
      </c>
      <c r="C99" s="6" t="s">
        <v>445</v>
      </c>
      <c r="D99" s="6" t="s">
        <v>447</v>
      </c>
    </row>
    <row r="100" spans="1:4" x14ac:dyDescent="0.25">
      <c r="B100" s="6" t="s">
        <v>8</v>
      </c>
      <c r="C100" s="6" t="s">
        <v>445</v>
      </c>
      <c r="D100" s="6" t="s">
        <v>448</v>
      </c>
    </row>
    <row r="101" spans="1:4" x14ac:dyDescent="0.25">
      <c r="B101" s="6" t="s">
        <v>471</v>
      </c>
      <c r="C101" s="6" t="s">
        <v>445</v>
      </c>
      <c r="D101" s="6" t="s">
        <v>472</v>
      </c>
    </row>
    <row r="102" spans="1:4" x14ac:dyDescent="0.25">
      <c r="B102" s="6" t="s">
        <v>449</v>
      </c>
      <c r="C102" s="6" t="s">
        <v>403</v>
      </c>
      <c r="D102" s="6" t="s">
        <v>473</v>
      </c>
    </row>
    <row r="103" spans="1:4" x14ac:dyDescent="0.25">
      <c r="B103" s="6" t="s">
        <v>9</v>
      </c>
      <c r="C103" s="6" t="s">
        <v>474</v>
      </c>
      <c r="D103" s="6" t="s">
        <v>459</v>
      </c>
    </row>
    <row r="104" spans="1:4" x14ac:dyDescent="0.25">
      <c r="B104" s="6" t="s">
        <v>475</v>
      </c>
      <c r="C104" s="6" t="s">
        <v>476</v>
      </c>
      <c r="D104" s="6" t="s">
        <v>477</v>
      </c>
    </row>
    <row r="106" spans="1:4" x14ac:dyDescent="0.25">
      <c r="A106" s="3" t="s">
        <v>478</v>
      </c>
    </row>
    <row r="107" spans="1:4" x14ac:dyDescent="0.25">
      <c r="B107" s="6" t="s">
        <v>320</v>
      </c>
      <c r="C107" s="6" t="s">
        <v>321</v>
      </c>
      <c r="D107" s="6" t="s">
        <v>322</v>
      </c>
    </row>
    <row r="108" spans="1:4" x14ac:dyDescent="0.25">
      <c r="B108" s="6" t="s">
        <v>248</v>
      </c>
      <c r="C108" s="6" t="s">
        <v>479</v>
      </c>
      <c r="D108" s="6" t="s">
        <v>480</v>
      </c>
    </row>
    <row r="109" spans="1:4" x14ac:dyDescent="0.25">
      <c r="B109" s="6" t="s">
        <v>249</v>
      </c>
      <c r="C109" s="6" t="s">
        <v>481</v>
      </c>
      <c r="D109" s="6" t="s">
        <v>482</v>
      </c>
    </row>
    <row r="110" spans="1:4" x14ac:dyDescent="0.25">
      <c r="B110" s="6" t="s">
        <v>250</v>
      </c>
      <c r="C110" s="6" t="s">
        <v>481</v>
      </c>
      <c r="D110" s="6" t="s">
        <v>483</v>
      </c>
    </row>
    <row r="111" spans="1:4" x14ac:dyDescent="0.25">
      <c r="B111" s="6" t="s">
        <v>251</v>
      </c>
      <c r="C111" s="6" t="s">
        <v>403</v>
      </c>
      <c r="D111" s="6" t="s">
        <v>473</v>
      </c>
    </row>
    <row r="112" spans="1:4" x14ac:dyDescent="0.25">
      <c r="B112" s="6" t="s">
        <v>252</v>
      </c>
      <c r="C112" s="6" t="s">
        <v>458</v>
      </c>
      <c r="D112" s="6" t="s">
        <v>459</v>
      </c>
    </row>
    <row r="113" spans="1:4" x14ac:dyDescent="0.25">
      <c r="B113" s="6" t="s">
        <v>253</v>
      </c>
      <c r="C113" s="6" t="s">
        <v>469</v>
      </c>
      <c r="D113" s="6" t="s">
        <v>470</v>
      </c>
    </row>
    <row r="114" spans="1:4" x14ac:dyDescent="0.25">
      <c r="B114" s="6" t="s">
        <v>254</v>
      </c>
      <c r="C114" s="6" t="s">
        <v>466</v>
      </c>
      <c r="D114" s="6" t="s">
        <v>467</v>
      </c>
    </row>
    <row r="115" spans="1:4" x14ac:dyDescent="0.25">
      <c r="B115" s="6" t="s">
        <v>255</v>
      </c>
      <c r="C115" s="6" t="s">
        <v>484</v>
      </c>
      <c r="D115" s="6" t="s">
        <v>485</v>
      </c>
    </row>
    <row r="116" spans="1:4" x14ac:dyDescent="0.25">
      <c r="B116" s="6" t="s">
        <v>256</v>
      </c>
      <c r="C116" s="6" t="s">
        <v>484</v>
      </c>
      <c r="D116" s="6" t="s">
        <v>486</v>
      </c>
    </row>
    <row r="118" spans="1:4" x14ac:dyDescent="0.25">
      <c r="A118" s="3" t="s">
        <v>487</v>
      </c>
    </row>
    <row r="119" spans="1:4" x14ac:dyDescent="0.25">
      <c r="B119" s="6" t="s">
        <v>320</v>
      </c>
      <c r="C119" s="6" t="s">
        <v>321</v>
      </c>
      <c r="D119" s="6" t="s">
        <v>322</v>
      </c>
    </row>
    <row r="120" spans="1:4" x14ac:dyDescent="0.25">
      <c r="B120" s="6" t="s">
        <v>488</v>
      </c>
      <c r="C120" s="6" t="s">
        <v>489</v>
      </c>
      <c r="D120" s="6" t="s">
        <v>490</v>
      </c>
    </row>
    <row r="121" spans="1:4" x14ac:dyDescent="0.25">
      <c r="B121" s="6" t="s">
        <v>491</v>
      </c>
      <c r="C121" s="6" t="s">
        <v>492</v>
      </c>
      <c r="D121" s="6" t="s">
        <v>493</v>
      </c>
    </row>
    <row r="122" spans="1:4" x14ac:dyDescent="0.25">
      <c r="B122" s="6" t="s">
        <v>494</v>
      </c>
      <c r="C122" s="6" t="s">
        <v>495</v>
      </c>
      <c r="D122" s="6" t="s">
        <v>496</v>
      </c>
    </row>
    <row r="123" spans="1:4" x14ac:dyDescent="0.25">
      <c r="B123" s="6" t="s">
        <v>497</v>
      </c>
      <c r="C123" s="6" t="s">
        <v>498</v>
      </c>
      <c r="D123" s="6" t="s">
        <v>499</v>
      </c>
    </row>
    <row r="125" spans="1:4" x14ac:dyDescent="0.25">
      <c r="A125" s="3" t="s">
        <v>500</v>
      </c>
    </row>
    <row r="126" spans="1:4" x14ac:dyDescent="0.25">
      <c r="B126" s="6" t="s">
        <v>320</v>
      </c>
      <c r="C126" s="6" t="s">
        <v>321</v>
      </c>
      <c r="D126" s="6" t="s">
        <v>322</v>
      </c>
    </row>
    <row r="127" spans="1:4" x14ac:dyDescent="0.25">
      <c r="B127" s="6" t="s">
        <v>501</v>
      </c>
      <c r="C127" s="6" t="s">
        <v>502</v>
      </c>
      <c r="D127" s="6" t="s">
        <v>503</v>
      </c>
    </row>
    <row r="129" spans="1:4" x14ac:dyDescent="0.25">
      <c r="A129" s="3" t="s">
        <v>504</v>
      </c>
    </row>
    <row r="130" spans="1:4" x14ac:dyDescent="0.25">
      <c r="B130" s="6" t="s">
        <v>320</v>
      </c>
      <c r="C130" s="6" t="s">
        <v>321</v>
      </c>
      <c r="D130" s="6" t="s">
        <v>322</v>
      </c>
    </row>
    <row r="131" spans="1:4" x14ac:dyDescent="0.25">
      <c r="B131" s="6" t="s">
        <v>257</v>
      </c>
      <c r="C131" s="6" t="s">
        <v>505</v>
      </c>
      <c r="D131" s="6" t="s">
        <v>506</v>
      </c>
    </row>
    <row r="132" spans="1:4" x14ac:dyDescent="0.25">
      <c r="B132" s="6" t="s">
        <v>507</v>
      </c>
      <c r="C132" s="6" t="s">
        <v>508</v>
      </c>
      <c r="D132" s="6" t="s">
        <v>509</v>
      </c>
    </row>
  </sheetData>
  <phoneticPr fontId="1"/>
  <pageMargins left="0.75" right="0.35" top="1" bottom="1" header="0.51200000000000001" footer="0.51200000000000001"/>
  <pageSetup paperSize="9" scale="8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D783-8E73-4D20-888A-ADBE825FB2A9}">
  <dimension ref="A1:J300"/>
  <sheetViews>
    <sheetView topLeftCell="A6" zoomScaleNormal="100" workbookViewId="0">
      <selection activeCell="D28" sqref="D28"/>
    </sheetView>
  </sheetViews>
  <sheetFormatPr defaultRowHeight="15.75" x14ac:dyDescent="0.25"/>
  <cols>
    <col min="1" max="1" width="3.25" style="3" customWidth="1"/>
    <col min="2" max="2" width="15.625" style="4" bestFit="1" customWidth="1"/>
    <col min="3" max="3" width="17.625" style="4" bestFit="1" customWidth="1"/>
    <col min="4" max="4" width="21.625" style="4" bestFit="1" customWidth="1"/>
    <col min="5" max="5" width="31.125" style="4" customWidth="1"/>
    <col min="6" max="6" width="41.625" style="4" bestFit="1" customWidth="1"/>
    <col min="7" max="7" width="9.5" style="2" bestFit="1" customWidth="1"/>
    <col min="8" max="8" width="22.125" style="2" bestFit="1" customWidth="1"/>
    <col min="9" max="9" width="6.75" style="2" customWidth="1"/>
    <col min="10" max="10" width="13.75" style="2" bestFit="1" customWidth="1"/>
    <col min="11" max="16384" width="9" style="2"/>
  </cols>
  <sheetData>
    <row r="1" spans="1:8" s="3" customFormat="1" ht="19.5" x14ac:dyDescent="0.3">
      <c r="A1" s="1" t="s">
        <v>510</v>
      </c>
      <c r="B1" s="4"/>
      <c r="C1" s="4"/>
      <c r="D1" s="4"/>
      <c r="E1" s="4"/>
      <c r="F1" s="5"/>
    </row>
    <row r="3" spans="1:8" x14ac:dyDescent="0.25">
      <c r="A3" s="3" t="s">
        <v>511</v>
      </c>
    </row>
    <row r="4" spans="1:8" x14ac:dyDescent="0.25">
      <c r="B4" s="4" t="s">
        <v>512</v>
      </c>
    </row>
    <row r="5" spans="1:8" x14ac:dyDescent="0.25">
      <c r="B5" s="4" t="s">
        <v>513</v>
      </c>
    </row>
    <row r="6" spans="1:8" x14ac:dyDescent="0.25">
      <c r="B6" s="4" t="s">
        <v>514</v>
      </c>
    </row>
    <row r="7" spans="1:8" x14ac:dyDescent="0.25">
      <c r="B7" s="4" t="s">
        <v>515</v>
      </c>
    </row>
    <row r="8" spans="1:8" x14ac:dyDescent="0.25">
      <c r="B8" s="4" t="s">
        <v>516</v>
      </c>
    </row>
    <row r="9" spans="1:8" x14ac:dyDescent="0.25">
      <c r="B9" s="4" t="s">
        <v>517</v>
      </c>
    </row>
    <row r="10" spans="1:8" x14ac:dyDescent="0.25">
      <c r="B10" s="4" t="s">
        <v>518</v>
      </c>
    </row>
    <row r="11" spans="1:8" x14ac:dyDescent="0.25">
      <c r="B11" s="4" t="s">
        <v>22</v>
      </c>
    </row>
    <row r="13" spans="1:8" x14ac:dyDescent="0.25">
      <c r="A13" s="3" t="s">
        <v>519</v>
      </c>
    </row>
    <row r="14" spans="1:8" x14ac:dyDescent="0.25">
      <c r="B14" s="6" t="s">
        <v>520</v>
      </c>
      <c r="C14" s="6" t="s">
        <v>521</v>
      </c>
      <c r="D14" s="6"/>
      <c r="E14" s="6"/>
      <c r="F14" s="6"/>
      <c r="G14" s="7"/>
      <c r="H14" s="7"/>
    </row>
    <row r="15" spans="1:8" x14ac:dyDescent="0.25">
      <c r="B15" s="6" t="s">
        <v>522</v>
      </c>
      <c r="C15" s="6" t="s">
        <v>22</v>
      </c>
      <c r="D15" s="6" t="s">
        <v>23</v>
      </c>
      <c r="E15" s="6"/>
      <c r="F15" s="6"/>
      <c r="G15" s="7"/>
      <c r="H15" s="7"/>
    </row>
    <row r="16" spans="1:8" x14ac:dyDescent="0.25">
      <c r="B16" s="6" t="s">
        <v>14</v>
      </c>
      <c r="C16" s="6" t="s">
        <v>523</v>
      </c>
      <c r="D16" s="6"/>
      <c r="E16" s="6"/>
      <c r="F16" s="6"/>
      <c r="G16" s="7"/>
      <c r="H16" s="7"/>
    </row>
    <row r="17" spans="1:10" x14ac:dyDescent="0.25">
      <c r="B17" s="6" t="s">
        <v>0</v>
      </c>
      <c r="C17" s="6" t="s">
        <v>23</v>
      </c>
      <c r="D17" s="6" t="s">
        <v>524</v>
      </c>
      <c r="E17" s="6" t="s">
        <v>525</v>
      </c>
      <c r="F17" s="6" t="s">
        <v>21</v>
      </c>
      <c r="G17" s="7" t="s">
        <v>513</v>
      </c>
      <c r="H17" s="7" t="s">
        <v>526</v>
      </c>
    </row>
    <row r="18" spans="1:10" x14ac:dyDescent="0.25">
      <c r="B18" s="6" t="s">
        <v>520</v>
      </c>
      <c r="C18" s="6" t="s">
        <v>527</v>
      </c>
      <c r="D18" s="6"/>
      <c r="E18" s="6"/>
      <c r="F18" s="6"/>
      <c r="G18" s="7"/>
      <c r="H18" s="7"/>
    </row>
    <row r="19" spans="1:10" x14ac:dyDescent="0.25">
      <c r="B19" s="6" t="s">
        <v>0</v>
      </c>
      <c r="C19" s="6" t="s">
        <v>23</v>
      </c>
      <c r="D19" s="6" t="s">
        <v>528</v>
      </c>
      <c r="E19" s="6" t="s">
        <v>529</v>
      </c>
      <c r="F19" s="6" t="s">
        <v>21</v>
      </c>
      <c r="G19" s="7" t="s">
        <v>515</v>
      </c>
      <c r="H19" s="7" t="s">
        <v>530</v>
      </c>
    </row>
    <row r="20" spans="1:10" x14ac:dyDescent="0.25">
      <c r="B20" s="6" t="s">
        <v>520</v>
      </c>
      <c r="C20" s="6" t="s">
        <v>531</v>
      </c>
      <c r="D20" s="6"/>
      <c r="E20" s="6"/>
      <c r="F20" s="6"/>
      <c r="G20" s="7"/>
      <c r="H20" s="7"/>
    </row>
    <row r="21" spans="1:10" x14ac:dyDescent="0.25">
      <c r="B21" s="6" t="s">
        <v>0</v>
      </c>
      <c r="C21" s="6" t="s">
        <v>23</v>
      </c>
      <c r="D21" s="6" t="s">
        <v>532</v>
      </c>
      <c r="E21" s="6" t="s">
        <v>533</v>
      </c>
      <c r="F21" s="6" t="s">
        <v>21</v>
      </c>
      <c r="G21" s="7" t="s">
        <v>514</v>
      </c>
      <c r="H21" s="7" t="s">
        <v>534</v>
      </c>
    </row>
    <row r="22" spans="1:10" x14ac:dyDescent="0.25">
      <c r="B22" s="6" t="s">
        <v>520</v>
      </c>
      <c r="C22" s="6" t="s">
        <v>535</v>
      </c>
      <c r="D22" s="6"/>
      <c r="E22" s="6"/>
      <c r="F22" s="6"/>
      <c r="G22" s="7"/>
      <c r="H22" s="7"/>
    </row>
    <row r="23" spans="1:10" x14ac:dyDescent="0.25">
      <c r="B23" s="6" t="s">
        <v>0</v>
      </c>
      <c r="C23" s="6" t="s">
        <v>23</v>
      </c>
      <c r="D23" s="6" t="s">
        <v>536</v>
      </c>
      <c r="E23" s="6" t="s">
        <v>537</v>
      </c>
      <c r="F23" s="6" t="s">
        <v>21</v>
      </c>
      <c r="G23" s="7" t="s">
        <v>516</v>
      </c>
      <c r="H23" s="7" t="s">
        <v>538</v>
      </c>
    </row>
    <row r="24" spans="1:10" x14ac:dyDescent="0.25">
      <c r="B24" s="6" t="s">
        <v>520</v>
      </c>
      <c r="C24" s="6" t="s">
        <v>539</v>
      </c>
      <c r="D24" s="6"/>
      <c r="E24" s="6"/>
      <c r="F24" s="6"/>
      <c r="G24" s="7"/>
      <c r="H24" s="7"/>
    </row>
    <row r="25" spans="1:10" x14ac:dyDescent="0.25">
      <c r="B25" s="6" t="s">
        <v>0</v>
      </c>
      <c r="C25" s="6" t="s">
        <v>23</v>
      </c>
      <c r="D25" s="6" t="s">
        <v>540</v>
      </c>
      <c r="E25" s="6" t="s">
        <v>541</v>
      </c>
      <c r="F25" s="6" t="s">
        <v>21</v>
      </c>
      <c r="G25" s="7" t="s">
        <v>518</v>
      </c>
      <c r="H25" s="7" t="s">
        <v>26</v>
      </c>
    </row>
    <row r="26" spans="1:10" x14ac:dyDescent="0.25">
      <c r="B26" s="6" t="s">
        <v>520</v>
      </c>
      <c r="C26" s="6" t="s">
        <v>542</v>
      </c>
      <c r="D26" s="6"/>
      <c r="E26" s="6"/>
      <c r="F26" s="6"/>
      <c r="G26" s="7"/>
      <c r="H26" s="7"/>
    </row>
    <row r="27" spans="1:10" x14ac:dyDescent="0.25">
      <c r="B27" s="6" t="s">
        <v>0</v>
      </c>
      <c r="C27" s="6"/>
      <c r="D27" s="6"/>
      <c r="E27" s="6"/>
      <c r="F27" s="6"/>
      <c r="G27" s="7"/>
      <c r="H27" s="7"/>
    </row>
    <row r="29" spans="1:10" x14ac:dyDescent="0.25">
      <c r="A29" s="3" t="s">
        <v>543</v>
      </c>
    </row>
    <row r="30" spans="1:10" x14ac:dyDescent="0.25">
      <c r="B30" s="6" t="s">
        <v>27</v>
      </c>
      <c r="C30" s="6" t="s">
        <v>24</v>
      </c>
      <c r="D30" s="6"/>
      <c r="E30" s="6"/>
      <c r="F30" s="6"/>
      <c r="G30" s="7"/>
      <c r="H30" s="7"/>
      <c r="I30" s="7"/>
      <c r="J30" s="7"/>
    </row>
    <row r="31" spans="1:10" x14ac:dyDescent="0.25">
      <c r="B31" s="7" t="s">
        <v>28</v>
      </c>
      <c r="C31" s="7" t="s">
        <v>544</v>
      </c>
      <c r="D31" s="7" t="str">
        <f>C30</f>
        <v>model</v>
      </c>
      <c r="E31" s="11" t="s">
        <v>545</v>
      </c>
      <c r="F31" s="7" t="s">
        <v>546</v>
      </c>
      <c r="G31" s="7"/>
      <c r="H31" s="6"/>
      <c r="I31" s="6"/>
      <c r="J31" s="6"/>
    </row>
    <row r="32" spans="1:10" x14ac:dyDescent="0.25">
      <c r="B32" s="12" t="s">
        <v>21</v>
      </c>
      <c r="C32" s="12" t="s">
        <v>29</v>
      </c>
      <c r="D32" s="13"/>
      <c r="E32" s="12"/>
      <c r="F32" s="12"/>
      <c r="G32" s="12"/>
      <c r="H32" s="12"/>
      <c r="I32" s="12"/>
      <c r="J32" s="12"/>
    </row>
    <row r="33" spans="2:10" x14ac:dyDescent="0.25">
      <c r="B33" s="7" t="s">
        <v>30</v>
      </c>
      <c r="C33" s="7" t="s">
        <v>31</v>
      </c>
      <c r="D33" s="7" t="s">
        <v>32</v>
      </c>
      <c r="E33" s="8">
        <v>1</v>
      </c>
      <c r="F33" s="6"/>
      <c r="G33" s="6"/>
      <c r="H33" s="10"/>
      <c r="I33" s="6" t="s">
        <v>19</v>
      </c>
      <c r="J33" s="6" t="s">
        <v>25</v>
      </c>
    </row>
    <row r="34" spans="2:10" x14ac:dyDescent="0.25">
      <c r="B34" s="7" t="s">
        <v>30</v>
      </c>
      <c r="C34" s="7" t="s">
        <v>547</v>
      </c>
      <c r="D34" s="7" t="s">
        <v>32</v>
      </c>
      <c r="E34" s="8">
        <v>1</v>
      </c>
      <c r="F34" s="6"/>
      <c r="G34" s="6"/>
      <c r="H34" s="10"/>
      <c r="I34" s="6" t="s">
        <v>19</v>
      </c>
      <c r="J34" s="6" t="s">
        <v>33</v>
      </c>
    </row>
    <row r="35" spans="2:10" x14ac:dyDescent="0.25">
      <c r="B35" s="12" t="s">
        <v>21</v>
      </c>
      <c r="C35" s="12" t="s">
        <v>548</v>
      </c>
      <c r="D35" s="13"/>
      <c r="E35" s="12"/>
      <c r="F35" s="12"/>
      <c r="G35" s="12"/>
      <c r="H35" s="12"/>
      <c r="I35" s="12"/>
      <c r="J35" s="12"/>
    </row>
    <row r="36" spans="2:10" x14ac:dyDescent="0.25">
      <c r="B36" s="7" t="s">
        <v>30</v>
      </c>
      <c r="C36" s="7" t="s">
        <v>34</v>
      </c>
      <c r="D36" s="7" t="s">
        <v>32</v>
      </c>
      <c r="E36" s="8">
        <v>1</v>
      </c>
      <c r="F36" s="6"/>
      <c r="G36" s="6"/>
      <c r="H36" s="10"/>
      <c r="I36" s="6" t="s">
        <v>19</v>
      </c>
      <c r="J36" s="6" t="s">
        <v>35</v>
      </c>
    </row>
    <row r="37" spans="2:10" x14ac:dyDescent="0.25">
      <c r="B37" s="7" t="s">
        <v>30</v>
      </c>
      <c r="C37" s="7" t="s">
        <v>36</v>
      </c>
      <c r="D37" s="7" t="s">
        <v>32</v>
      </c>
      <c r="E37" s="8">
        <v>32</v>
      </c>
      <c r="F37" s="6"/>
      <c r="G37" s="6"/>
      <c r="H37" s="10"/>
      <c r="I37" s="6" t="s">
        <v>19</v>
      </c>
      <c r="J37" s="6" t="s">
        <v>37</v>
      </c>
    </row>
    <row r="38" spans="2:10" x14ac:dyDescent="0.25">
      <c r="B38" s="7" t="s">
        <v>30</v>
      </c>
      <c r="C38" s="7" t="s">
        <v>38</v>
      </c>
      <c r="D38" s="7" t="s">
        <v>549</v>
      </c>
      <c r="E38" s="8" t="s">
        <v>39</v>
      </c>
      <c r="F38" s="6" t="s">
        <v>40</v>
      </c>
      <c r="G38" s="8" t="s">
        <v>31</v>
      </c>
      <c r="H38" s="11" t="s">
        <v>550</v>
      </c>
      <c r="I38" s="6" t="s">
        <v>19</v>
      </c>
      <c r="J38" s="14" t="s">
        <v>41</v>
      </c>
    </row>
    <row r="39" spans="2:10" x14ac:dyDescent="0.25">
      <c r="B39" s="12" t="s">
        <v>21</v>
      </c>
      <c r="C39" s="12" t="s">
        <v>42</v>
      </c>
      <c r="D39" s="13"/>
      <c r="E39" s="12"/>
      <c r="F39" s="12"/>
      <c r="G39" s="12"/>
      <c r="H39" s="12"/>
      <c r="I39" s="12"/>
      <c r="J39" s="12"/>
    </row>
    <row r="40" spans="2:10" x14ac:dyDescent="0.25">
      <c r="B40" s="7" t="s">
        <v>30</v>
      </c>
      <c r="C40" s="7" t="s">
        <v>43</v>
      </c>
      <c r="D40" s="7" t="s">
        <v>549</v>
      </c>
      <c r="E40" s="8">
        <v>1</v>
      </c>
      <c r="F40" s="6" t="s">
        <v>40</v>
      </c>
      <c r="G40" s="6" t="s">
        <v>31</v>
      </c>
      <c r="H40" s="11" t="s">
        <v>550</v>
      </c>
      <c r="I40" s="6" t="s">
        <v>19</v>
      </c>
      <c r="J40" s="6" t="s">
        <v>35</v>
      </c>
    </row>
    <row r="41" spans="2:10" x14ac:dyDescent="0.25">
      <c r="B41" s="7" t="s">
        <v>30</v>
      </c>
      <c r="C41" s="7" t="s">
        <v>44</v>
      </c>
      <c r="D41" s="7" t="s">
        <v>549</v>
      </c>
      <c r="E41" s="8" t="s">
        <v>52</v>
      </c>
      <c r="F41" s="6" t="s">
        <v>40</v>
      </c>
      <c r="G41" s="6" t="s">
        <v>31</v>
      </c>
      <c r="H41" s="11" t="s">
        <v>551</v>
      </c>
      <c r="I41" s="6" t="s">
        <v>19</v>
      </c>
      <c r="J41" s="6" t="s">
        <v>45</v>
      </c>
    </row>
    <row r="42" spans="2:10" x14ac:dyDescent="0.25">
      <c r="B42" s="7" t="s">
        <v>30</v>
      </c>
      <c r="C42" s="7" t="s">
        <v>46</v>
      </c>
      <c r="D42" s="7" t="s">
        <v>549</v>
      </c>
      <c r="E42" s="8" t="s">
        <v>52</v>
      </c>
      <c r="F42" s="6" t="s">
        <v>40</v>
      </c>
      <c r="G42" s="6" t="s">
        <v>31</v>
      </c>
      <c r="H42" s="11" t="s">
        <v>551</v>
      </c>
      <c r="I42" s="6" t="s">
        <v>19</v>
      </c>
      <c r="J42" s="6" t="s">
        <v>47</v>
      </c>
    </row>
    <row r="43" spans="2:10" x14ac:dyDescent="0.25">
      <c r="B43" s="7" t="s">
        <v>30</v>
      </c>
      <c r="C43" s="7" t="s">
        <v>48</v>
      </c>
      <c r="D43" s="7" t="s">
        <v>223</v>
      </c>
      <c r="E43" s="8">
        <v>1</v>
      </c>
      <c r="F43" s="7"/>
      <c r="G43" s="7"/>
      <c r="H43" s="7"/>
      <c r="I43" s="6" t="s">
        <v>19</v>
      </c>
      <c r="J43" s="6" t="s">
        <v>41</v>
      </c>
    </row>
    <row r="44" spans="2:10" x14ac:dyDescent="0.25">
      <c r="B44" s="7"/>
      <c r="C44" s="7"/>
      <c r="D44" s="7"/>
      <c r="E44" s="7"/>
      <c r="F44" s="7"/>
      <c r="G44" s="7"/>
      <c r="H44" s="7"/>
      <c r="I44" s="7"/>
      <c r="J44" s="7"/>
    </row>
    <row r="45" spans="2:10" x14ac:dyDescent="0.25">
      <c r="B45" s="12" t="s">
        <v>19</v>
      </c>
      <c r="C45" s="12" t="s">
        <v>49</v>
      </c>
      <c r="D45" s="13"/>
      <c r="E45" s="12"/>
      <c r="F45" s="12"/>
      <c r="G45" s="12"/>
      <c r="H45" s="12"/>
      <c r="I45" s="12"/>
      <c r="J45" s="12"/>
    </row>
    <row r="46" spans="2:10" x14ac:dyDescent="0.25">
      <c r="B46" s="11" t="s">
        <v>50</v>
      </c>
      <c r="C46" s="8" t="s">
        <v>51</v>
      </c>
      <c r="D46" s="8" t="s">
        <v>52</v>
      </c>
      <c r="E46" s="6" t="s">
        <v>31</v>
      </c>
      <c r="F46" s="11" t="s">
        <v>551</v>
      </c>
      <c r="G46" s="11"/>
      <c r="H46" s="11"/>
      <c r="I46" s="11" t="s">
        <v>19</v>
      </c>
      <c r="J46" s="11" t="s">
        <v>45</v>
      </c>
    </row>
    <row r="47" spans="2:10" x14ac:dyDescent="0.25">
      <c r="B47" s="7"/>
      <c r="C47" s="7"/>
      <c r="D47" s="7"/>
      <c r="E47" s="7"/>
      <c r="F47" s="7"/>
      <c r="G47" s="7"/>
      <c r="H47" s="7"/>
      <c r="I47" s="7"/>
      <c r="J47" s="7"/>
    </row>
    <row r="48" spans="2:10" x14ac:dyDescent="0.25">
      <c r="B48" s="15" t="s">
        <v>246</v>
      </c>
      <c r="C48" s="15" t="s">
        <v>552</v>
      </c>
      <c r="D48" s="15" t="s">
        <v>31</v>
      </c>
      <c r="E48" s="16" t="s">
        <v>553</v>
      </c>
      <c r="F48" s="17"/>
      <c r="G48" s="7"/>
      <c r="H48" s="7"/>
      <c r="I48" s="7"/>
      <c r="J48" s="7"/>
    </row>
    <row r="49" spans="2:10" x14ac:dyDescent="0.25">
      <c r="B49" s="18" t="s">
        <v>53</v>
      </c>
      <c r="C49" s="18" t="s">
        <v>554</v>
      </c>
      <c r="D49" s="18"/>
      <c r="E49" s="18"/>
      <c r="F49" s="19"/>
      <c r="G49" s="7"/>
      <c r="H49" s="7"/>
      <c r="I49" s="7"/>
      <c r="J49" s="7"/>
    </row>
    <row r="50" spans="2:10" x14ac:dyDescent="0.25">
      <c r="B50" s="7" t="s">
        <v>12</v>
      </c>
      <c r="C50" s="7" t="s">
        <v>555</v>
      </c>
      <c r="D50" s="7"/>
      <c r="E50" s="7"/>
      <c r="F50" s="7"/>
      <c r="G50" s="7"/>
      <c r="H50" s="7"/>
      <c r="I50" s="7"/>
      <c r="J50" s="7"/>
    </row>
    <row r="51" spans="2:10" x14ac:dyDescent="0.25">
      <c r="B51" s="7"/>
      <c r="C51" s="7" t="s">
        <v>125</v>
      </c>
      <c r="D51" s="7" t="s">
        <v>556</v>
      </c>
      <c r="E51" s="7"/>
      <c r="F51" s="7"/>
      <c r="G51" s="7"/>
      <c r="H51" s="7"/>
      <c r="I51" s="7"/>
      <c r="J51" s="7"/>
    </row>
    <row r="52" spans="2:10" x14ac:dyDescent="0.25">
      <c r="B52" s="7"/>
      <c r="C52" s="7" t="s">
        <v>10</v>
      </c>
      <c r="D52" s="7" t="s">
        <v>198</v>
      </c>
      <c r="E52" s="7"/>
      <c r="F52" s="7"/>
      <c r="G52" s="7"/>
      <c r="H52" s="7"/>
      <c r="I52" s="7"/>
      <c r="J52" s="7"/>
    </row>
    <row r="53" spans="2:10" x14ac:dyDescent="0.25">
      <c r="B53" s="7" t="s">
        <v>11</v>
      </c>
      <c r="C53" s="7"/>
      <c r="D53" s="7"/>
      <c r="E53" s="7"/>
      <c r="F53" s="7"/>
      <c r="G53" s="7"/>
      <c r="H53" s="7"/>
      <c r="I53" s="7"/>
      <c r="J53" s="7"/>
    </row>
    <row r="54" spans="2:10" x14ac:dyDescent="0.25">
      <c r="B54" s="18" t="s">
        <v>53</v>
      </c>
      <c r="C54" s="18" t="s">
        <v>198</v>
      </c>
      <c r="D54" s="18"/>
      <c r="E54" s="18"/>
      <c r="F54" s="19"/>
      <c r="G54" s="7"/>
      <c r="H54" s="7"/>
      <c r="I54" s="7"/>
      <c r="J54" s="7"/>
    </row>
    <row r="55" spans="2:10" x14ac:dyDescent="0.25">
      <c r="B55" s="7" t="s">
        <v>125</v>
      </c>
      <c r="C55" s="7" t="s">
        <v>557</v>
      </c>
      <c r="D55" s="7"/>
      <c r="E55" s="7"/>
      <c r="F55" s="7"/>
      <c r="G55" s="7"/>
      <c r="H55" s="7"/>
      <c r="I55" s="7"/>
      <c r="J55" s="7"/>
    </row>
    <row r="56" spans="2:10" x14ac:dyDescent="0.25">
      <c r="B56" s="7" t="s">
        <v>125</v>
      </c>
      <c r="C56" s="7" t="s">
        <v>558</v>
      </c>
      <c r="D56" s="7"/>
      <c r="E56" s="7"/>
      <c r="F56" s="7"/>
      <c r="G56" s="7"/>
      <c r="H56" s="7"/>
      <c r="I56" s="7"/>
      <c r="J56" s="7"/>
    </row>
    <row r="57" spans="2:10" x14ac:dyDescent="0.25">
      <c r="B57" s="7" t="s">
        <v>13</v>
      </c>
      <c r="C57" s="7" t="s">
        <v>43</v>
      </c>
      <c r="D57" s="7" t="s">
        <v>128</v>
      </c>
      <c r="E57" s="7" t="s">
        <v>129</v>
      </c>
      <c r="F57" s="7"/>
      <c r="G57" s="7"/>
      <c r="H57" s="7"/>
      <c r="I57" s="7"/>
      <c r="J57" s="7"/>
    </row>
    <row r="58" spans="2:10" x14ac:dyDescent="0.25">
      <c r="B58" s="7" t="s">
        <v>10</v>
      </c>
      <c r="C58" s="7" t="s">
        <v>148</v>
      </c>
      <c r="D58" s="7"/>
      <c r="E58" s="7"/>
      <c r="F58" s="7"/>
      <c r="G58" s="7"/>
      <c r="H58" s="7"/>
      <c r="I58" s="7"/>
      <c r="J58" s="7"/>
    </row>
    <row r="59" spans="2:10" x14ac:dyDescent="0.25">
      <c r="B59" s="7"/>
      <c r="C59" s="7"/>
      <c r="D59" s="7"/>
      <c r="E59" s="7"/>
      <c r="F59" s="7"/>
      <c r="G59" s="7"/>
      <c r="H59" s="7"/>
      <c r="I59" s="7"/>
      <c r="J59" s="7"/>
    </row>
    <row r="60" spans="2:10" x14ac:dyDescent="0.25">
      <c r="B60" s="18" t="s">
        <v>53</v>
      </c>
      <c r="C60" s="18" t="s">
        <v>148</v>
      </c>
      <c r="D60" s="18"/>
      <c r="E60" s="18"/>
      <c r="F60" s="19"/>
      <c r="G60" s="7"/>
      <c r="H60" s="7"/>
      <c r="I60" s="7"/>
      <c r="J60" s="7"/>
    </row>
    <row r="61" spans="2:10" x14ac:dyDescent="0.25">
      <c r="B61" s="7" t="s">
        <v>12</v>
      </c>
      <c r="C61" s="7" t="s">
        <v>559</v>
      </c>
      <c r="D61" s="7"/>
      <c r="E61" s="7"/>
      <c r="F61" s="7"/>
      <c r="G61" s="7"/>
      <c r="H61" s="7"/>
      <c r="I61" s="7"/>
      <c r="J61" s="7"/>
    </row>
    <row r="62" spans="2:10" x14ac:dyDescent="0.25">
      <c r="B62" s="7"/>
      <c r="C62" s="7" t="s">
        <v>13</v>
      </c>
      <c r="D62" s="7" t="s">
        <v>38</v>
      </c>
      <c r="E62" s="7" t="s">
        <v>128</v>
      </c>
      <c r="F62" s="7" t="s">
        <v>129</v>
      </c>
      <c r="G62" s="7"/>
      <c r="H62" s="7"/>
      <c r="I62" s="7"/>
      <c r="J62" s="7"/>
    </row>
    <row r="63" spans="2:10" x14ac:dyDescent="0.25">
      <c r="B63" s="7"/>
      <c r="C63" s="7" t="s">
        <v>125</v>
      </c>
      <c r="D63" s="7" t="s">
        <v>560</v>
      </c>
      <c r="E63" s="7"/>
      <c r="F63" s="7"/>
      <c r="G63" s="7"/>
      <c r="H63" s="7"/>
      <c r="I63" s="7"/>
      <c r="J63" s="7"/>
    </row>
    <row r="64" spans="2:10" x14ac:dyDescent="0.25">
      <c r="B64" s="7"/>
      <c r="C64" s="7" t="s">
        <v>125</v>
      </c>
      <c r="D64" s="7" t="s">
        <v>561</v>
      </c>
      <c r="E64" s="7"/>
      <c r="F64" s="7"/>
      <c r="G64" s="7"/>
      <c r="H64" s="7"/>
      <c r="I64" s="7"/>
      <c r="J64" s="7"/>
    </row>
    <row r="65" spans="1:10" x14ac:dyDescent="0.25">
      <c r="B65" s="7"/>
      <c r="C65" s="7" t="s">
        <v>10</v>
      </c>
      <c r="D65" s="7" t="s">
        <v>562</v>
      </c>
      <c r="E65" s="7"/>
      <c r="F65" s="7"/>
      <c r="G65" s="7"/>
      <c r="H65" s="7"/>
      <c r="I65" s="7"/>
      <c r="J65" s="7"/>
    </row>
    <row r="66" spans="1:10" x14ac:dyDescent="0.25">
      <c r="B66" s="7" t="s">
        <v>11</v>
      </c>
      <c r="C66" s="7"/>
      <c r="D66" s="7"/>
      <c r="E66" s="7"/>
      <c r="F66" s="7"/>
      <c r="G66" s="7"/>
      <c r="H66" s="7"/>
      <c r="I66" s="7"/>
      <c r="J66" s="7"/>
    </row>
    <row r="67" spans="1:10" x14ac:dyDescent="0.25">
      <c r="B67" s="7"/>
      <c r="C67" s="7"/>
      <c r="D67" s="7"/>
      <c r="E67" s="7"/>
      <c r="F67" s="7"/>
      <c r="G67" s="7"/>
      <c r="H67" s="7"/>
      <c r="I67" s="7"/>
      <c r="J67" s="7"/>
    </row>
    <row r="68" spans="1:10" x14ac:dyDescent="0.25">
      <c r="B68" s="18" t="s">
        <v>53</v>
      </c>
      <c r="C68" s="18" t="s">
        <v>562</v>
      </c>
      <c r="D68" s="18"/>
      <c r="E68" s="18"/>
      <c r="F68" s="19"/>
      <c r="G68" s="7"/>
      <c r="H68" s="7"/>
      <c r="I68" s="7"/>
      <c r="J68" s="7"/>
    </row>
    <row r="69" spans="1:10" x14ac:dyDescent="0.25">
      <c r="B69" s="7" t="s">
        <v>10</v>
      </c>
      <c r="C69" s="7" t="s">
        <v>554</v>
      </c>
      <c r="D69" s="7"/>
      <c r="E69" s="7"/>
      <c r="F69" s="7"/>
      <c r="G69" s="7"/>
      <c r="H69" s="7"/>
      <c r="I69" s="7"/>
      <c r="J69" s="7"/>
    </row>
    <row r="71" spans="1:10" x14ac:dyDescent="0.25">
      <c r="A71" s="3" t="s">
        <v>564</v>
      </c>
    </row>
    <row r="72" spans="1:10" x14ac:dyDescent="0.25">
      <c r="B72" s="11" t="s">
        <v>27</v>
      </c>
      <c r="C72" s="11" t="s">
        <v>31</v>
      </c>
      <c r="D72" s="8"/>
      <c r="E72" s="11"/>
      <c r="F72" s="11"/>
      <c r="G72" s="11"/>
      <c r="H72" s="11"/>
    </row>
    <row r="73" spans="1:10" x14ac:dyDescent="0.25">
      <c r="B73" s="12" t="s">
        <v>21</v>
      </c>
      <c r="C73" s="12" t="s">
        <v>54</v>
      </c>
      <c r="D73" s="13"/>
      <c r="E73" s="12"/>
      <c r="F73" s="12"/>
      <c r="G73" s="12"/>
      <c r="H73" s="12"/>
    </row>
    <row r="74" spans="1:10" x14ac:dyDescent="0.25">
      <c r="B74" s="7" t="s">
        <v>30</v>
      </c>
      <c r="C74" s="7" t="s">
        <v>31</v>
      </c>
      <c r="D74" s="7" t="s">
        <v>549</v>
      </c>
      <c r="E74" s="8">
        <v>1</v>
      </c>
      <c r="F74" s="6" t="s">
        <v>563</v>
      </c>
      <c r="G74" s="6" t="s">
        <v>19</v>
      </c>
      <c r="H74" s="6" t="s">
        <v>55</v>
      </c>
    </row>
    <row r="75" spans="1:10" x14ac:dyDescent="0.25">
      <c r="B75" s="7" t="s">
        <v>30</v>
      </c>
      <c r="C75" s="7" t="s">
        <v>64</v>
      </c>
      <c r="D75" s="7" t="s">
        <v>549</v>
      </c>
      <c r="E75" s="8">
        <v>1</v>
      </c>
      <c r="F75" s="6" t="s">
        <v>563</v>
      </c>
      <c r="G75" s="6" t="s">
        <v>19</v>
      </c>
      <c r="H75" s="6" t="s">
        <v>56</v>
      </c>
    </row>
    <row r="76" spans="1:10" x14ac:dyDescent="0.25">
      <c r="B76" s="11"/>
      <c r="C76" s="11"/>
      <c r="D76" s="8"/>
      <c r="E76" s="11"/>
      <c r="F76" s="11"/>
      <c r="G76" s="11"/>
      <c r="H76" s="11"/>
    </row>
    <row r="77" spans="1:10" x14ac:dyDescent="0.25">
      <c r="B77" s="12" t="s">
        <v>19</v>
      </c>
      <c r="C77" s="12" t="s">
        <v>57</v>
      </c>
      <c r="D77" s="12" t="s">
        <v>58</v>
      </c>
      <c r="E77" s="12" t="s">
        <v>59</v>
      </c>
      <c r="F77" s="12" t="s">
        <v>60</v>
      </c>
      <c r="G77" s="12" t="s">
        <v>61</v>
      </c>
      <c r="H77" s="12" t="s">
        <v>62</v>
      </c>
    </row>
    <row r="78" spans="1:10" x14ac:dyDescent="0.25">
      <c r="B78" s="11" t="s">
        <v>63</v>
      </c>
      <c r="C78" s="7" t="str">
        <f>CONCATENATE("_",H78)</f>
        <v>_clk</v>
      </c>
      <c r="D78" s="11">
        <v>3000</v>
      </c>
      <c r="E78" s="11">
        <v>500</v>
      </c>
      <c r="F78" s="11">
        <f>D78/2</f>
        <v>1500</v>
      </c>
      <c r="G78" s="11">
        <v>0</v>
      </c>
      <c r="H78" s="11" t="s">
        <v>31</v>
      </c>
    </row>
    <row r="79" spans="1:10" x14ac:dyDescent="0.25">
      <c r="B79" s="11" t="s">
        <v>63</v>
      </c>
      <c r="C79" s="7" t="str">
        <f>CONCATENATE("_",H79)</f>
        <v>_clko</v>
      </c>
      <c r="D79" s="11">
        <v>3000</v>
      </c>
      <c r="E79" s="11">
        <v>550</v>
      </c>
      <c r="F79" s="11">
        <f>D79/2</f>
        <v>1500</v>
      </c>
      <c r="G79" s="11">
        <v>0</v>
      </c>
      <c r="H79" s="11" t="s">
        <v>64</v>
      </c>
    </row>
    <row r="81" spans="1:8" x14ac:dyDescent="0.25">
      <c r="A81" s="3" t="s">
        <v>565</v>
      </c>
    </row>
    <row r="82" spans="1:8" x14ac:dyDescent="0.25">
      <c r="B82" s="7" t="s">
        <v>65</v>
      </c>
      <c r="C82" s="7" t="s">
        <v>66</v>
      </c>
      <c r="D82" s="7"/>
    </row>
    <row r="83" spans="1:8" x14ac:dyDescent="0.25">
      <c r="B83" s="7" t="s">
        <v>20</v>
      </c>
      <c r="C83" s="7" t="s">
        <v>67</v>
      </c>
      <c r="D83" s="7"/>
    </row>
    <row r="84" spans="1:8" x14ac:dyDescent="0.25">
      <c r="B84" s="7" t="s">
        <v>68</v>
      </c>
      <c r="C84" s="7" t="s">
        <v>69</v>
      </c>
      <c r="D84" s="7"/>
    </row>
    <row r="85" spans="1:8" x14ac:dyDescent="0.25">
      <c r="B85" s="11"/>
      <c r="C85" s="11"/>
      <c r="D85" s="11"/>
    </row>
    <row r="86" spans="1:8" x14ac:dyDescent="0.25">
      <c r="B86" s="17" t="s">
        <v>19</v>
      </c>
      <c r="C86" s="17" t="s">
        <v>70</v>
      </c>
      <c r="D86" s="17" t="s">
        <v>46</v>
      </c>
    </row>
    <row r="87" spans="1:8" x14ac:dyDescent="0.25">
      <c r="B87" s="7" t="s">
        <v>71</v>
      </c>
      <c r="C87" s="7" t="s">
        <v>72</v>
      </c>
      <c r="D87" s="7" t="s">
        <v>73</v>
      </c>
    </row>
    <row r="88" spans="1:8" x14ac:dyDescent="0.25">
      <c r="B88" s="7" t="s">
        <v>71</v>
      </c>
      <c r="C88" s="7" t="s">
        <v>74</v>
      </c>
      <c r="D88" s="7" t="s">
        <v>75</v>
      </c>
    </row>
    <row r="89" spans="1:8" x14ac:dyDescent="0.25">
      <c r="B89" s="7" t="s">
        <v>71</v>
      </c>
      <c r="C89" s="7" t="s">
        <v>76</v>
      </c>
      <c r="D89" s="7" t="s">
        <v>77</v>
      </c>
    </row>
    <row r="90" spans="1:8" x14ac:dyDescent="0.25">
      <c r="B90" s="7" t="s">
        <v>71</v>
      </c>
      <c r="C90" s="7" t="s">
        <v>78</v>
      </c>
      <c r="D90" s="7" t="s">
        <v>79</v>
      </c>
    </row>
    <row r="91" spans="1:8" x14ac:dyDescent="0.25">
      <c r="B91" s="7"/>
      <c r="C91" s="7"/>
      <c r="D91" s="7"/>
    </row>
    <row r="92" spans="1:8" x14ac:dyDescent="0.25">
      <c r="B92" s="17" t="s">
        <v>19</v>
      </c>
      <c r="C92" s="17" t="s">
        <v>80</v>
      </c>
      <c r="D92" s="7"/>
    </row>
    <row r="93" spans="1:8" x14ac:dyDescent="0.25">
      <c r="B93" s="7" t="s">
        <v>81</v>
      </c>
      <c r="C93" s="7">
        <v>50</v>
      </c>
      <c r="D93" s="7"/>
    </row>
    <row r="95" spans="1:8" x14ac:dyDescent="0.25">
      <c r="A95" s="3" t="s">
        <v>566</v>
      </c>
    </row>
    <row r="96" spans="1:8" x14ac:dyDescent="0.25">
      <c r="B96" s="11" t="s">
        <v>65</v>
      </c>
      <c r="C96" s="11"/>
      <c r="D96" s="8" t="s">
        <v>19</v>
      </c>
      <c r="E96" s="11" t="s">
        <v>82</v>
      </c>
      <c r="F96" s="11"/>
      <c r="G96" s="11"/>
      <c r="H96" s="11"/>
    </row>
    <row r="97" spans="2:9" x14ac:dyDescent="0.25">
      <c r="B97" s="8" t="s">
        <v>83</v>
      </c>
      <c r="C97" s="8">
        <v>99</v>
      </c>
      <c r="D97" s="8"/>
      <c r="E97" s="8"/>
      <c r="F97" s="8"/>
      <c r="G97" s="8"/>
      <c r="H97" s="8"/>
    </row>
    <row r="98" spans="2:9" x14ac:dyDescent="0.25">
      <c r="B98" s="8" t="s">
        <v>84</v>
      </c>
      <c r="C98" s="8">
        <v>10</v>
      </c>
      <c r="D98" s="8"/>
      <c r="E98" s="8"/>
      <c r="F98" s="8"/>
      <c r="G98" s="8"/>
      <c r="H98" s="8"/>
    </row>
    <row r="99" spans="2:9" x14ac:dyDescent="0.25">
      <c r="B99" s="11"/>
      <c r="C99" s="11"/>
      <c r="D99" s="11"/>
      <c r="E99" s="11"/>
      <c r="F99" s="11"/>
      <c r="G99" s="11"/>
      <c r="H99" s="11"/>
    </row>
    <row r="100" spans="2:9" x14ac:dyDescent="0.25">
      <c r="B100" s="16" t="s">
        <v>19</v>
      </c>
      <c r="C100" s="16" t="s">
        <v>85</v>
      </c>
      <c r="D100" s="16"/>
      <c r="E100" s="16"/>
      <c r="F100" s="16"/>
      <c r="G100" s="11"/>
      <c r="H100" s="11"/>
    </row>
    <row r="101" spans="2:9" x14ac:dyDescent="0.25">
      <c r="B101" s="12" t="s">
        <v>86</v>
      </c>
      <c r="C101" s="13" t="s">
        <v>87</v>
      </c>
      <c r="D101" s="13"/>
      <c r="E101" s="13"/>
      <c r="F101" s="13"/>
      <c r="G101" s="11"/>
      <c r="H101" s="11"/>
    </row>
    <row r="102" spans="2:9" x14ac:dyDescent="0.25">
      <c r="B102" s="8" t="s">
        <v>88</v>
      </c>
      <c r="C102" s="8">
        <v>500</v>
      </c>
      <c r="D102" s="8"/>
      <c r="E102" s="8" t="s">
        <v>19</v>
      </c>
      <c r="F102" s="8" t="s">
        <v>89</v>
      </c>
      <c r="G102" s="11"/>
      <c r="H102" s="11"/>
    </row>
    <row r="103" spans="2:9" x14ac:dyDescent="0.25">
      <c r="B103" s="11" t="s">
        <v>90</v>
      </c>
      <c r="C103" s="8" t="s">
        <v>91</v>
      </c>
      <c r="D103" s="8">
        <v>32</v>
      </c>
      <c r="E103" s="8" t="s">
        <v>19</v>
      </c>
      <c r="F103" s="8" t="s">
        <v>45</v>
      </c>
      <c r="G103" s="11"/>
      <c r="H103" s="11"/>
    </row>
    <row r="104" spans="2:9" x14ac:dyDescent="0.25">
      <c r="B104" s="11" t="s">
        <v>90</v>
      </c>
      <c r="C104" s="21" t="s">
        <v>92</v>
      </c>
      <c r="D104" s="8">
        <v>32</v>
      </c>
      <c r="E104" s="8" t="s">
        <v>19</v>
      </c>
      <c r="F104" s="8" t="s">
        <v>47</v>
      </c>
      <c r="G104" s="11"/>
      <c r="H104" s="11"/>
      <c r="I104" s="9"/>
    </row>
    <row r="105" spans="2:9" x14ac:dyDescent="0.25">
      <c r="B105" s="11" t="s">
        <v>90</v>
      </c>
      <c r="C105" s="21" t="s">
        <v>93</v>
      </c>
      <c r="D105" s="8">
        <v>8</v>
      </c>
      <c r="E105" s="8" t="s">
        <v>19</v>
      </c>
      <c r="F105" s="8" t="s">
        <v>94</v>
      </c>
      <c r="G105" s="11"/>
      <c r="H105" s="11"/>
      <c r="I105" s="9"/>
    </row>
    <row r="106" spans="2:9" x14ac:dyDescent="0.25">
      <c r="B106" s="12" t="s">
        <v>86</v>
      </c>
      <c r="C106" s="13" t="s">
        <v>95</v>
      </c>
      <c r="D106" s="13"/>
      <c r="E106" s="13"/>
      <c r="F106" s="13"/>
      <c r="G106" s="11"/>
      <c r="H106" s="11"/>
      <c r="I106" s="9"/>
    </row>
    <row r="107" spans="2:9" x14ac:dyDescent="0.25">
      <c r="B107" s="8" t="s">
        <v>88</v>
      </c>
      <c r="C107" s="8">
        <v>500</v>
      </c>
      <c r="D107" s="8"/>
      <c r="E107" s="8" t="s">
        <v>19</v>
      </c>
      <c r="F107" s="8" t="s">
        <v>89</v>
      </c>
      <c r="G107" s="11"/>
      <c r="H107" s="11"/>
      <c r="I107" s="9"/>
    </row>
    <row r="108" spans="2:9" x14ac:dyDescent="0.25">
      <c r="B108" s="11" t="s">
        <v>90</v>
      </c>
      <c r="C108" s="8" t="s">
        <v>96</v>
      </c>
      <c r="D108" s="8">
        <v>8</v>
      </c>
      <c r="E108" s="8" t="s">
        <v>19</v>
      </c>
      <c r="F108" s="8" t="s">
        <v>97</v>
      </c>
      <c r="G108" s="11"/>
      <c r="H108" s="11"/>
      <c r="I108" s="9"/>
    </row>
    <row r="109" spans="2:9" x14ac:dyDescent="0.25">
      <c r="B109" s="11"/>
      <c r="C109" s="11"/>
      <c r="D109" s="11"/>
      <c r="E109" s="11"/>
      <c r="F109" s="11"/>
      <c r="G109" s="11"/>
      <c r="H109" s="11"/>
      <c r="I109" s="9"/>
    </row>
    <row r="110" spans="2:9" x14ac:dyDescent="0.25">
      <c r="B110" s="16" t="s">
        <v>19</v>
      </c>
      <c r="C110" s="16" t="s">
        <v>98</v>
      </c>
      <c r="D110" s="16"/>
      <c r="E110" s="16"/>
      <c r="F110" s="11"/>
      <c r="G110" s="11"/>
      <c r="H110" s="11"/>
      <c r="I110" s="9"/>
    </row>
    <row r="111" spans="2:9" x14ac:dyDescent="0.25">
      <c r="B111" s="8" t="s">
        <v>99</v>
      </c>
      <c r="C111" s="8"/>
      <c r="D111" s="8"/>
      <c r="E111" s="8"/>
      <c r="F111" s="11"/>
      <c r="G111" s="11"/>
      <c r="H111" s="11"/>
      <c r="I111" s="9"/>
    </row>
    <row r="112" spans="2:9" x14ac:dyDescent="0.25">
      <c r="B112" s="8" t="s">
        <v>68</v>
      </c>
      <c r="C112" s="8" t="s">
        <v>100</v>
      </c>
      <c r="D112" s="8"/>
      <c r="E112" s="8"/>
      <c r="F112" s="11"/>
      <c r="G112" s="11"/>
      <c r="H112" s="11"/>
      <c r="I112" s="9"/>
    </row>
    <row r="113" spans="2:9" x14ac:dyDescent="0.25">
      <c r="B113" s="11" t="s">
        <v>101</v>
      </c>
      <c r="C113" s="11"/>
      <c r="D113" s="11"/>
      <c r="E113" s="11"/>
      <c r="F113" s="11"/>
      <c r="G113" s="11"/>
      <c r="H113" s="11"/>
      <c r="I113" s="9"/>
    </row>
    <row r="114" spans="2:9" x14ac:dyDescent="0.25">
      <c r="B114" s="11" t="s">
        <v>68</v>
      </c>
      <c r="C114" s="11" t="s">
        <v>102</v>
      </c>
      <c r="D114" s="11"/>
      <c r="E114" s="11"/>
      <c r="F114" s="11"/>
      <c r="G114" s="11"/>
      <c r="H114" s="11"/>
      <c r="I114" s="9"/>
    </row>
    <row r="115" spans="2:9" x14ac:dyDescent="0.25">
      <c r="B115" s="11" t="s">
        <v>101</v>
      </c>
      <c r="C115" s="11"/>
      <c r="D115" s="11"/>
      <c r="E115" s="11"/>
      <c r="F115" s="11"/>
      <c r="G115" s="11"/>
      <c r="H115" s="11"/>
      <c r="I115" s="9"/>
    </row>
    <row r="116" spans="2:9" x14ac:dyDescent="0.25">
      <c r="B116" s="11" t="s">
        <v>68</v>
      </c>
      <c r="C116" s="11" t="s">
        <v>103</v>
      </c>
      <c r="D116" s="11"/>
      <c r="E116" s="11"/>
      <c r="F116" s="11"/>
      <c r="G116" s="11"/>
      <c r="H116" s="11"/>
      <c r="I116" s="9"/>
    </row>
    <row r="117" spans="2:9" x14ac:dyDescent="0.25">
      <c r="B117" s="11" t="s">
        <v>68</v>
      </c>
      <c r="C117" s="11" t="s">
        <v>104</v>
      </c>
      <c r="D117" s="11"/>
      <c r="E117" s="11"/>
      <c r="F117" s="11"/>
      <c r="G117" s="11"/>
      <c r="H117" s="11"/>
      <c r="I117" s="9"/>
    </row>
    <row r="118" spans="2:9" x14ac:dyDescent="0.25">
      <c r="B118" s="12" t="s">
        <v>19</v>
      </c>
      <c r="C118" s="12" t="s">
        <v>105</v>
      </c>
      <c r="D118" s="12"/>
      <c r="E118" s="12"/>
      <c r="F118" s="11"/>
      <c r="G118" s="11"/>
      <c r="H118" s="11"/>
      <c r="I118" s="9"/>
    </row>
    <row r="119" spans="2:9" x14ac:dyDescent="0.25">
      <c r="B119" s="11" t="s">
        <v>68</v>
      </c>
      <c r="C119" s="11" t="s">
        <v>106</v>
      </c>
      <c r="D119" s="11"/>
      <c r="E119" s="8"/>
      <c r="F119" s="11"/>
      <c r="G119" s="11"/>
      <c r="H119" s="11"/>
      <c r="I119" s="9"/>
    </row>
    <row r="120" spans="2:9" x14ac:dyDescent="0.25">
      <c r="B120" s="11" t="s">
        <v>68</v>
      </c>
      <c r="C120" s="8" t="s">
        <v>107</v>
      </c>
      <c r="D120" s="8"/>
      <c r="E120" s="8"/>
      <c r="F120" s="11"/>
      <c r="G120" s="11"/>
      <c r="H120" s="11"/>
      <c r="I120" s="9"/>
    </row>
    <row r="121" spans="2:9" x14ac:dyDescent="0.25">
      <c r="B121" s="11" t="s">
        <v>68</v>
      </c>
      <c r="C121" s="8" t="s">
        <v>108</v>
      </c>
      <c r="D121" s="8"/>
      <c r="E121" s="8"/>
      <c r="F121" s="11"/>
      <c r="G121" s="11"/>
      <c r="H121" s="11"/>
      <c r="I121" s="9"/>
    </row>
    <row r="122" spans="2:9" x14ac:dyDescent="0.25">
      <c r="B122" s="11" t="s">
        <v>68</v>
      </c>
      <c r="C122" s="11" t="s">
        <v>109</v>
      </c>
      <c r="D122" s="8"/>
      <c r="E122" s="8"/>
      <c r="F122" s="11"/>
      <c r="G122" s="11"/>
      <c r="H122" s="11"/>
      <c r="I122" s="9"/>
    </row>
    <row r="123" spans="2:9" x14ac:dyDescent="0.25">
      <c r="B123" s="11" t="s">
        <v>68</v>
      </c>
      <c r="C123" s="11" t="s">
        <v>110</v>
      </c>
      <c r="D123" s="11"/>
      <c r="E123" s="8"/>
      <c r="F123" s="11"/>
      <c r="G123" s="11"/>
      <c r="H123" s="11"/>
      <c r="I123" s="9"/>
    </row>
    <row r="124" spans="2:9" x14ac:dyDescent="0.25">
      <c r="B124" s="11" t="s">
        <v>68</v>
      </c>
      <c r="C124" s="11" t="s">
        <v>111</v>
      </c>
      <c r="D124" s="11"/>
      <c r="E124" s="11"/>
      <c r="F124" s="11"/>
      <c r="G124" s="11"/>
      <c r="H124" s="11"/>
      <c r="I124" s="9"/>
    </row>
    <row r="125" spans="2:9" x14ac:dyDescent="0.25">
      <c r="B125" s="11" t="s">
        <v>68</v>
      </c>
      <c r="C125" s="11" t="s">
        <v>110</v>
      </c>
      <c r="D125" s="11"/>
      <c r="E125" s="11"/>
      <c r="F125" s="11"/>
      <c r="G125" s="11"/>
      <c r="H125" s="11"/>
      <c r="I125" s="9"/>
    </row>
    <row r="126" spans="2:9" x14ac:dyDescent="0.25">
      <c r="B126" s="12" t="s">
        <v>19</v>
      </c>
      <c r="C126" s="12" t="s">
        <v>112</v>
      </c>
      <c r="D126" s="12"/>
      <c r="E126" s="12"/>
      <c r="F126" s="11"/>
      <c r="G126" s="11"/>
      <c r="H126" s="11"/>
      <c r="I126" s="9"/>
    </row>
    <row r="127" spans="2:9" x14ac:dyDescent="0.25">
      <c r="B127" s="11" t="s">
        <v>68</v>
      </c>
      <c r="C127" s="11" t="s">
        <v>113</v>
      </c>
      <c r="D127" s="11"/>
      <c r="E127" s="11"/>
      <c r="F127" s="11"/>
      <c r="G127" s="11"/>
      <c r="H127" s="11"/>
      <c r="I127" s="9"/>
    </row>
    <row r="128" spans="2:9" x14ac:dyDescent="0.25">
      <c r="B128" s="11" t="s">
        <v>68</v>
      </c>
      <c r="C128" s="11" t="s">
        <v>114</v>
      </c>
      <c r="D128" s="11"/>
      <c r="E128" s="11"/>
      <c r="F128" s="11"/>
      <c r="G128" s="11"/>
      <c r="H128" s="11"/>
      <c r="I128" s="9"/>
    </row>
    <row r="129" spans="2:9" x14ac:dyDescent="0.25">
      <c r="B129" s="11" t="s">
        <v>68</v>
      </c>
      <c r="C129" s="11" t="s">
        <v>115</v>
      </c>
      <c r="D129" s="11"/>
      <c r="E129" s="11"/>
      <c r="F129" s="11"/>
      <c r="G129" s="11"/>
      <c r="H129" s="11"/>
      <c r="I129" s="9"/>
    </row>
    <row r="130" spans="2:9" x14ac:dyDescent="0.25">
      <c r="B130" s="11" t="s">
        <v>116</v>
      </c>
      <c r="C130" s="11"/>
      <c r="D130" s="11"/>
      <c r="E130" s="11"/>
      <c r="F130" s="11"/>
      <c r="G130" s="11"/>
      <c r="H130" s="11"/>
      <c r="I130" s="9"/>
    </row>
    <row r="131" spans="2:9" x14ac:dyDescent="0.25">
      <c r="B131" s="11" t="s">
        <v>68</v>
      </c>
      <c r="C131" s="21" t="s">
        <v>117</v>
      </c>
      <c r="D131" s="11"/>
      <c r="E131" s="8"/>
      <c r="F131" s="11"/>
      <c r="G131" s="11"/>
      <c r="H131" s="11"/>
      <c r="I131" s="9"/>
    </row>
    <row r="132" spans="2:9" x14ac:dyDescent="0.25">
      <c r="B132" s="11"/>
      <c r="C132" s="11"/>
      <c r="D132" s="11"/>
      <c r="E132" s="11"/>
      <c r="F132" s="11"/>
      <c r="G132" s="11"/>
      <c r="H132" s="11"/>
      <c r="I132" s="9"/>
    </row>
    <row r="133" spans="2:9" x14ac:dyDescent="0.25">
      <c r="B133" s="16" t="s">
        <v>19</v>
      </c>
      <c r="C133" s="16" t="s">
        <v>118</v>
      </c>
      <c r="D133" s="16"/>
      <c r="E133" s="16"/>
      <c r="F133" s="16"/>
      <c r="G133" s="16"/>
      <c r="H133" s="11"/>
      <c r="I133" s="9"/>
    </row>
    <row r="134" spans="2:9" x14ac:dyDescent="0.25">
      <c r="B134" s="23" t="s">
        <v>119</v>
      </c>
      <c r="C134" s="23" t="s">
        <v>120</v>
      </c>
      <c r="D134" s="23" t="s">
        <v>31</v>
      </c>
      <c r="E134" s="23"/>
      <c r="F134" s="23"/>
      <c r="G134" s="23"/>
      <c r="H134" s="8"/>
      <c r="I134" s="20"/>
    </row>
    <row r="135" spans="2:9" x14ac:dyDescent="0.25">
      <c r="B135" s="8" t="s">
        <v>121</v>
      </c>
      <c r="C135" s="8" t="s">
        <v>80</v>
      </c>
      <c r="D135" s="8" t="s">
        <v>52</v>
      </c>
      <c r="E135" s="8" t="s">
        <v>122</v>
      </c>
      <c r="F135" s="8"/>
      <c r="G135" s="8"/>
      <c r="H135" s="8"/>
      <c r="I135" s="20"/>
    </row>
    <row r="136" spans="2:9" x14ac:dyDescent="0.25">
      <c r="B136" s="13" t="s">
        <v>53</v>
      </c>
      <c r="C136" s="13" t="s">
        <v>123</v>
      </c>
      <c r="D136" s="13"/>
      <c r="E136" s="13" t="s">
        <v>19</v>
      </c>
      <c r="F136" s="13" t="s">
        <v>124</v>
      </c>
      <c r="G136" s="13"/>
      <c r="H136" s="8"/>
      <c r="I136" s="20"/>
    </row>
    <row r="137" spans="2:9" x14ac:dyDescent="0.25">
      <c r="B137" s="8" t="s">
        <v>125</v>
      </c>
      <c r="C137" s="8" t="s">
        <v>126</v>
      </c>
      <c r="D137" s="8"/>
      <c r="E137" s="8" t="s">
        <v>19</v>
      </c>
      <c r="F137" s="8" t="s">
        <v>127</v>
      </c>
      <c r="G137" s="8"/>
      <c r="H137" s="8"/>
      <c r="I137" s="20"/>
    </row>
    <row r="138" spans="2:9" x14ac:dyDescent="0.25">
      <c r="B138" s="11" t="s">
        <v>13</v>
      </c>
      <c r="C138" s="11" t="s">
        <v>34</v>
      </c>
      <c r="D138" s="11" t="s">
        <v>64</v>
      </c>
      <c r="E138" s="11" t="s">
        <v>128</v>
      </c>
      <c r="F138" s="11" t="s">
        <v>129</v>
      </c>
      <c r="G138" s="11"/>
      <c r="H138" s="11"/>
      <c r="I138" s="9"/>
    </row>
    <row r="139" spans="2:9" x14ac:dyDescent="0.25">
      <c r="B139" s="11" t="s">
        <v>13</v>
      </c>
      <c r="C139" s="11" t="s">
        <v>36</v>
      </c>
      <c r="D139" s="11" t="s">
        <v>64</v>
      </c>
      <c r="E139" s="11" t="s">
        <v>130</v>
      </c>
      <c r="F139" s="11" t="s">
        <v>131</v>
      </c>
      <c r="G139" s="11"/>
      <c r="H139" s="11"/>
      <c r="I139" s="9"/>
    </row>
    <row r="140" spans="2:9" x14ac:dyDescent="0.25">
      <c r="B140" s="11" t="s">
        <v>125</v>
      </c>
      <c r="C140" s="11" t="s">
        <v>132</v>
      </c>
      <c r="D140" s="11"/>
      <c r="E140" s="11"/>
      <c r="F140" s="11"/>
      <c r="G140" s="11"/>
      <c r="H140" s="11"/>
      <c r="I140" s="9"/>
    </row>
    <row r="141" spans="2:9" x14ac:dyDescent="0.25">
      <c r="B141" s="11" t="s">
        <v>10</v>
      </c>
      <c r="C141" s="11" t="s">
        <v>133</v>
      </c>
      <c r="D141" s="11"/>
      <c r="E141" s="11"/>
      <c r="F141" s="11"/>
      <c r="G141" s="11"/>
      <c r="H141" s="11"/>
      <c r="I141" s="9"/>
    </row>
    <row r="142" spans="2:9" x14ac:dyDescent="0.25">
      <c r="B142" s="13" t="s">
        <v>53</v>
      </c>
      <c r="C142" s="13" t="s">
        <v>133</v>
      </c>
      <c r="D142" s="13"/>
      <c r="E142" s="13" t="s">
        <v>19</v>
      </c>
      <c r="F142" s="13" t="s">
        <v>134</v>
      </c>
      <c r="G142" s="13"/>
      <c r="H142" s="11"/>
      <c r="I142" s="9"/>
    </row>
    <row r="143" spans="2:9" x14ac:dyDescent="0.25">
      <c r="B143" s="11" t="s">
        <v>12</v>
      </c>
      <c r="C143" s="11" t="s">
        <v>135</v>
      </c>
      <c r="D143" s="7"/>
      <c r="E143" s="7"/>
      <c r="F143" s="11"/>
      <c r="G143" s="11"/>
      <c r="H143" s="11"/>
      <c r="I143" s="9"/>
    </row>
    <row r="144" spans="2:9" x14ac:dyDescent="0.25">
      <c r="B144" s="11"/>
      <c r="C144" s="11" t="s">
        <v>12</v>
      </c>
      <c r="D144" s="11" t="s">
        <v>136</v>
      </c>
      <c r="E144" s="11" t="s">
        <v>10</v>
      </c>
      <c r="F144" s="11" t="s">
        <v>123</v>
      </c>
      <c r="G144" s="11"/>
      <c r="H144" s="11"/>
      <c r="I144" s="9"/>
    </row>
    <row r="145" spans="2:9" x14ac:dyDescent="0.25">
      <c r="B145" s="11"/>
      <c r="C145" s="11" t="s">
        <v>137</v>
      </c>
      <c r="D145" s="7"/>
      <c r="E145" s="11" t="s">
        <v>10</v>
      </c>
      <c r="F145" s="11" t="s">
        <v>138</v>
      </c>
      <c r="G145" s="11"/>
      <c r="H145" s="11"/>
      <c r="I145" s="9"/>
    </row>
    <row r="146" spans="2:9" x14ac:dyDescent="0.25">
      <c r="B146" s="11" t="s">
        <v>11</v>
      </c>
      <c r="C146" s="11"/>
      <c r="D146" s="11"/>
      <c r="E146" s="11"/>
      <c r="F146" s="11"/>
      <c r="G146" s="11"/>
      <c r="H146" s="11"/>
      <c r="I146" s="9"/>
    </row>
    <row r="147" spans="2:9" x14ac:dyDescent="0.25">
      <c r="B147" s="11"/>
      <c r="C147" s="11"/>
      <c r="D147" s="11"/>
      <c r="E147" s="11"/>
      <c r="F147" s="11"/>
      <c r="G147" s="11"/>
      <c r="H147" s="11"/>
      <c r="I147" s="9"/>
    </row>
    <row r="148" spans="2:9" x14ac:dyDescent="0.25">
      <c r="B148" s="13" t="s">
        <v>53</v>
      </c>
      <c r="C148" s="13" t="s">
        <v>138</v>
      </c>
      <c r="D148" s="13"/>
      <c r="E148" s="13" t="s">
        <v>19</v>
      </c>
      <c r="F148" s="13" t="s">
        <v>139</v>
      </c>
      <c r="G148" s="13"/>
      <c r="H148" s="11"/>
      <c r="I148" s="9"/>
    </row>
    <row r="149" spans="2:9" x14ac:dyDescent="0.25">
      <c r="B149" s="11" t="s">
        <v>12</v>
      </c>
      <c r="C149" s="11" t="s">
        <v>140</v>
      </c>
      <c r="D149" s="11" t="s">
        <v>10</v>
      </c>
      <c r="E149" s="11" t="s">
        <v>123</v>
      </c>
      <c r="F149" s="11"/>
      <c r="G149" s="11"/>
      <c r="H149" s="11"/>
      <c r="I149" s="9"/>
    </row>
    <row r="150" spans="2:9" x14ac:dyDescent="0.25">
      <c r="B150" s="11" t="s">
        <v>137</v>
      </c>
      <c r="C150" s="11"/>
      <c r="D150" s="11" t="s">
        <v>125</v>
      </c>
      <c r="E150" s="11" t="s">
        <v>141</v>
      </c>
      <c r="F150" s="11"/>
      <c r="G150" s="11"/>
      <c r="H150" s="11"/>
      <c r="I150" s="9"/>
    </row>
    <row r="151" spans="2:9" x14ac:dyDescent="0.25">
      <c r="B151" s="11"/>
      <c r="C151" s="11"/>
      <c r="D151" s="11"/>
      <c r="E151" s="11"/>
      <c r="F151" s="11"/>
      <c r="G151" s="11"/>
      <c r="H151" s="11"/>
      <c r="I151" s="9"/>
    </row>
    <row r="152" spans="2:9" x14ac:dyDescent="0.25">
      <c r="B152" s="16" t="s">
        <v>19</v>
      </c>
      <c r="C152" s="16" t="s">
        <v>142</v>
      </c>
      <c r="D152" s="16"/>
      <c r="E152" s="16"/>
      <c r="F152" s="16"/>
      <c r="G152" s="16"/>
      <c r="H152" s="11"/>
      <c r="I152" s="9"/>
    </row>
    <row r="153" spans="2:9" x14ac:dyDescent="0.25">
      <c r="B153" s="23" t="s">
        <v>119</v>
      </c>
      <c r="C153" s="23" t="s">
        <v>143</v>
      </c>
      <c r="D153" s="23" t="s">
        <v>31</v>
      </c>
      <c r="E153" s="23"/>
      <c r="F153" s="23"/>
      <c r="G153" s="23"/>
      <c r="H153" s="8"/>
      <c r="I153" s="20"/>
    </row>
    <row r="154" spans="2:9" x14ac:dyDescent="0.25">
      <c r="B154" s="8" t="s">
        <v>121</v>
      </c>
      <c r="C154" s="8" t="s">
        <v>80</v>
      </c>
      <c r="D154" s="8" t="s">
        <v>52</v>
      </c>
      <c r="E154" s="8" t="s">
        <v>122</v>
      </c>
      <c r="F154" s="8"/>
      <c r="G154" s="8"/>
      <c r="H154" s="8"/>
      <c r="I154" s="20"/>
    </row>
    <row r="155" spans="2:9" x14ac:dyDescent="0.25">
      <c r="B155" s="13" t="s">
        <v>53</v>
      </c>
      <c r="C155" s="13" t="s">
        <v>133</v>
      </c>
      <c r="D155" s="13"/>
      <c r="E155" s="13" t="s">
        <v>19</v>
      </c>
      <c r="F155" s="13" t="s">
        <v>144</v>
      </c>
      <c r="G155" s="13"/>
      <c r="H155" s="8"/>
      <c r="I155" s="20"/>
    </row>
    <row r="156" spans="2:9" x14ac:dyDescent="0.25">
      <c r="B156" s="11" t="s">
        <v>12</v>
      </c>
      <c r="C156" s="11" t="s">
        <v>145</v>
      </c>
      <c r="D156" s="8"/>
      <c r="E156" s="8"/>
      <c r="F156" s="8"/>
      <c r="G156" s="8"/>
      <c r="H156" s="8"/>
      <c r="I156" s="20"/>
    </row>
    <row r="157" spans="2:9" x14ac:dyDescent="0.25">
      <c r="B157" s="11"/>
      <c r="C157" s="11" t="s">
        <v>125</v>
      </c>
      <c r="D157" s="8" t="s">
        <v>146</v>
      </c>
      <c r="E157" s="8" t="s">
        <v>19</v>
      </c>
      <c r="F157" s="8" t="s">
        <v>147</v>
      </c>
      <c r="G157" s="11"/>
      <c r="H157" s="11"/>
      <c r="I157" s="9"/>
    </row>
    <row r="158" spans="2:9" x14ac:dyDescent="0.25">
      <c r="B158" s="11"/>
      <c r="C158" s="11" t="s">
        <v>125</v>
      </c>
      <c r="D158" s="11" t="s">
        <v>132</v>
      </c>
      <c r="E158" s="11"/>
      <c r="F158" s="11"/>
      <c r="G158" s="11"/>
      <c r="H158" s="11"/>
      <c r="I158" s="9"/>
    </row>
    <row r="159" spans="2:9" x14ac:dyDescent="0.25">
      <c r="B159" s="11"/>
      <c r="C159" s="11" t="s">
        <v>10</v>
      </c>
      <c r="D159" s="11" t="s">
        <v>148</v>
      </c>
      <c r="E159" s="11"/>
      <c r="F159" s="11"/>
      <c r="G159" s="11"/>
      <c r="H159" s="11"/>
      <c r="I159" s="9"/>
    </row>
    <row r="160" spans="2:9" x14ac:dyDescent="0.25">
      <c r="B160" s="11" t="s">
        <v>11</v>
      </c>
      <c r="C160" s="11"/>
      <c r="D160" s="11"/>
      <c r="E160" s="11"/>
      <c r="F160" s="11"/>
      <c r="G160" s="11"/>
      <c r="H160" s="11"/>
      <c r="I160" s="9"/>
    </row>
    <row r="161" spans="1:9" x14ac:dyDescent="0.25">
      <c r="B161" s="13" t="s">
        <v>53</v>
      </c>
      <c r="C161" s="13" t="s">
        <v>148</v>
      </c>
      <c r="D161" s="13"/>
      <c r="E161" s="13" t="s">
        <v>19</v>
      </c>
      <c r="F161" s="13" t="s">
        <v>149</v>
      </c>
      <c r="G161" s="13"/>
      <c r="H161" s="11"/>
      <c r="I161" s="9"/>
    </row>
    <row r="162" spans="1:9" x14ac:dyDescent="0.25">
      <c r="B162" s="11" t="s">
        <v>12</v>
      </c>
      <c r="C162" s="11" t="s">
        <v>150</v>
      </c>
      <c r="D162" s="11"/>
      <c r="E162" s="11"/>
      <c r="F162" s="11"/>
      <c r="G162" s="11"/>
      <c r="H162" s="11"/>
      <c r="I162" s="9"/>
    </row>
    <row r="163" spans="1:9" x14ac:dyDescent="0.25">
      <c r="B163" s="11"/>
      <c r="C163" s="11" t="s">
        <v>13</v>
      </c>
      <c r="D163" s="7" t="s">
        <v>48</v>
      </c>
      <c r="E163" s="11" t="s">
        <v>64</v>
      </c>
      <c r="F163" s="11" t="s">
        <v>128</v>
      </c>
      <c r="G163" s="11" t="s">
        <v>151</v>
      </c>
      <c r="H163" s="11"/>
      <c r="I163" s="9"/>
    </row>
    <row r="164" spans="1:9" x14ac:dyDescent="0.25">
      <c r="B164" s="11"/>
      <c r="C164" s="11" t="s">
        <v>125</v>
      </c>
      <c r="D164" s="11" t="s">
        <v>152</v>
      </c>
      <c r="E164" s="11"/>
      <c r="F164" s="11"/>
      <c r="G164" s="11"/>
      <c r="H164" s="11"/>
      <c r="I164" s="9"/>
    </row>
    <row r="165" spans="1:9" x14ac:dyDescent="0.25">
      <c r="B165" s="11"/>
      <c r="C165" s="11" t="s">
        <v>10</v>
      </c>
      <c r="D165" s="11" t="s">
        <v>133</v>
      </c>
      <c r="E165" s="11"/>
      <c r="F165" s="11"/>
      <c r="G165" s="11"/>
      <c r="H165" s="11"/>
      <c r="I165" s="9"/>
    </row>
    <row r="166" spans="1:9" x14ac:dyDescent="0.25">
      <c r="B166" s="11" t="s">
        <v>153</v>
      </c>
      <c r="C166" s="11"/>
      <c r="D166" s="11"/>
      <c r="E166" s="11"/>
      <c r="F166" s="11"/>
      <c r="G166" s="11"/>
      <c r="H166" s="11"/>
      <c r="I166" s="9"/>
    </row>
    <row r="167" spans="1:9" x14ac:dyDescent="0.25">
      <c r="B167" s="11"/>
      <c r="C167" s="11" t="s">
        <v>125</v>
      </c>
      <c r="D167" s="11" t="s">
        <v>141</v>
      </c>
      <c r="E167" s="11"/>
      <c r="F167" s="11"/>
      <c r="G167" s="11"/>
      <c r="H167" s="11"/>
      <c r="I167" s="9"/>
    </row>
    <row r="168" spans="1:9" x14ac:dyDescent="0.25">
      <c r="B168" s="11" t="s">
        <v>11</v>
      </c>
      <c r="C168" s="11"/>
      <c r="D168" s="11"/>
      <c r="E168" s="11"/>
      <c r="F168" s="11"/>
      <c r="G168" s="11"/>
      <c r="H168" s="11"/>
      <c r="I168" s="9"/>
    </row>
    <row r="170" spans="1:9" x14ac:dyDescent="0.25">
      <c r="A170" s="3" t="s">
        <v>567</v>
      </c>
    </row>
    <row r="171" spans="1:9" x14ac:dyDescent="0.25">
      <c r="B171" s="12" t="s">
        <v>21</v>
      </c>
      <c r="C171" s="12" t="s">
        <v>29</v>
      </c>
      <c r="D171" s="13"/>
      <c r="E171" s="12"/>
      <c r="F171" s="12"/>
      <c r="G171" s="12"/>
      <c r="H171" s="12"/>
    </row>
    <row r="172" spans="1:9" x14ac:dyDescent="0.25">
      <c r="B172" s="7" t="s">
        <v>30</v>
      </c>
      <c r="C172" s="7" t="s">
        <v>31</v>
      </c>
      <c r="D172" s="7" t="s">
        <v>32</v>
      </c>
      <c r="E172" s="8">
        <v>1</v>
      </c>
      <c r="F172" s="6"/>
      <c r="G172" s="6" t="s">
        <v>19</v>
      </c>
      <c r="H172" s="6" t="s">
        <v>25</v>
      </c>
    </row>
    <row r="173" spans="1:9" x14ac:dyDescent="0.25">
      <c r="B173" s="7" t="s">
        <v>30</v>
      </c>
      <c r="C173" s="7" t="s">
        <v>64</v>
      </c>
      <c r="D173" s="7" t="s">
        <v>32</v>
      </c>
      <c r="E173" s="8">
        <v>1</v>
      </c>
      <c r="F173" s="6"/>
      <c r="G173" s="6" t="s">
        <v>19</v>
      </c>
      <c r="H173" s="6" t="s">
        <v>25</v>
      </c>
    </row>
    <row r="174" spans="1:9" x14ac:dyDescent="0.25">
      <c r="B174" s="7" t="s">
        <v>30</v>
      </c>
      <c r="C174" s="7" t="s">
        <v>547</v>
      </c>
      <c r="D174" s="7" t="s">
        <v>549</v>
      </c>
      <c r="E174" s="8" t="s">
        <v>39</v>
      </c>
      <c r="F174" s="6" t="s">
        <v>40</v>
      </c>
      <c r="G174" s="6" t="s">
        <v>19</v>
      </c>
      <c r="H174" s="6" t="s">
        <v>33</v>
      </c>
    </row>
    <row r="175" spans="1:9" x14ac:dyDescent="0.25">
      <c r="B175" s="12" t="s">
        <v>21</v>
      </c>
      <c r="C175" s="12" t="s">
        <v>548</v>
      </c>
      <c r="D175" s="13"/>
      <c r="E175" s="12"/>
      <c r="F175" s="12"/>
      <c r="G175" s="12"/>
      <c r="H175" s="12"/>
    </row>
    <row r="176" spans="1:9" x14ac:dyDescent="0.25">
      <c r="B176" s="7" t="s">
        <v>30</v>
      </c>
      <c r="C176" s="7" t="s">
        <v>34</v>
      </c>
      <c r="D176" s="7" t="s">
        <v>549</v>
      </c>
      <c r="E176" s="8">
        <v>1</v>
      </c>
      <c r="F176" s="6" t="s">
        <v>40</v>
      </c>
      <c r="G176" s="6" t="s">
        <v>19</v>
      </c>
      <c r="H176" s="6" t="s">
        <v>35</v>
      </c>
    </row>
    <row r="177" spans="1:8" x14ac:dyDescent="0.25">
      <c r="B177" s="7" t="s">
        <v>30</v>
      </c>
      <c r="C177" s="7" t="s">
        <v>36</v>
      </c>
      <c r="D177" s="7" t="s">
        <v>549</v>
      </c>
      <c r="E177" s="8">
        <v>32</v>
      </c>
      <c r="F177" s="6" t="s">
        <v>40</v>
      </c>
      <c r="G177" s="6" t="s">
        <v>19</v>
      </c>
      <c r="H177" s="6" t="s">
        <v>37</v>
      </c>
    </row>
    <row r="178" spans="1:8" x14ac:dyDescent="0.25">
      <c r="B178" s="7" t="s">
        <v>30</v>
      </c>
      <c r="C178" s="7" t="s">
        <v>38</v>
      </c>
      <c r="D178" s="7" t="s">
        <v>223</v>
      </c>
      <c r="E178" s="8" t="s">
        <v>39</v>
      </c>
      <c r="F178" s="6"/>
      <c r="G178" s="6" t="s">
        <v>19</v>
      </c>
      <c r="H178" s="14" t="s">
        <v>41</v>
      </c>
    </row>
    <row r="179" spans="1:8" x14ac:dyDescent="0.25">
      <c r="B179" s="12" t="s">
        <v>21</v>
      </c>
      <c r="C179" s="12" t="s">
        <v>42</v>
      </c>
      <c r="D179" s="13"/>
      <c r="E179" s="12"/>
      <c r="F179" s="12"/>
      <c r="G179" s="12"/>
      <c r="H179" s="12"/>
    </row>
    <row r="180" spans="1:8" x14ac:dyDescent="0.25">
      <c r="B180" s="7" t="s">
        <v>30</v>
      </c>
      <c r="C180" s="7" t="s">
        <v>43</v>
      </c>
      <c r="D180" s="7" t="s">
        <v>223</v>
      </c>
      <c r="E180" s="8">
        <v>1</v>
      </c>
      <c r="F180" s="6"/>
      <c r="G180" s="6" t="s">
        <v>19</v>
      </c>
      <c r="H180" s="6" t="s">
        <v>35</v>
      </c>
    </row>
    <row r="181" spans="1:8" x14ac:dyDescent="0.25">
      <c r="B181" s="7" t="s">
        <v>30</v>
      </c>
      <c r="C181" s="7" t="s">
        <v>44</v>
      </c>
      <c r="D181" s="7" t="s">
        <v>223</v>
      </c>
      <c r="E181" s="8" t="s">
        <v>52</v>
      </c>
      <c r="F181" s="6"/>
      <c r="G181" s="6" t="s">
        <v>19</v>
      </c>
      <c r="H181" s="6" t="s">
        <v>45</v>
      </c>
    </row>
    <row r="182" spans="1:8" x14ac:dyDescent="0.25">
      <c r="B182" s="7" t="s">
        <v>30</v>
      </c>
      <c r="C182" s="7" t="s">
        <v>46</v>
      </c>
      <c r="D182" s="7" t="s">
        <v>223</v>
      </c>
      <c r="E182" s="8" t="s">
        <v>52</v>
      </c>
      <c r="F182" s="6"/>
      <c r="G182" s="6" t="s">
        <v>19</v>
      </c>
      <c r="H182" s="6" t="s">
        <v>47</v>
      </c>
    </row>
    <row r="183" spans="1:8" x14ac:dyDescent="0.25">
      <c r="B183" s="7" t="s">
        <v>30</v>
      </c>
      <c r="C183" s="7" t="s">
        <v>48</v>
      </c>
      <c r="D183" s="7" t="s">
        <v>549</v>
      </c>
      <c r="E183" s="8">
        <v>1</v>
      </c>
      <c r="F183" s="7" t="s">
        <v>40</v>
      </c>
      <c r="G183" s="6" t="s">
        <v>19</v>
      </c>
      <c r="H183" s="6" t="s">
        <v>41</v>
      </c>
    </row>
    <row r="185" spans="1:8" x14ac:dyDescent="0.25">
      <c r="A185" s="3" t="s">
        <v>568</v>
      </c>
    </row>
    <row r="186" spans="1:8" x14ac:dyDescent="0.25">
      <c r="B186" s="11" t="s">
        <v>65</v>
      </c>
      <c r="C186" s="11" t="s">
        <v>154</v>
      </c>
      <c r="D186" s="7"/>
      <c r="E186" s="7"/>
      <c r="F186" s="7"/>
      <c r="G186" s="7"/>
    </row>
    <row r="187" spans="1:8" x14ac:dyDescent="0.25">
      <c r="B187" s="7"/>
      <c r="C187" s="7"/>
      <c r="D187" s="7"/>
      <c r="E187" s="7"/>
      <c r="F187" s="7"/>
      <c r="G187" s="7"/>
    </row>
    <row r="188" spans="1:8" x14ac:dyDescent="0.25">
      <c r="B188" s="24" t="s">
        <v>19</v>
      </c>
      <c r="C188" s="24" t="s">
        <v>155</v>
      </c>
      <c r="D188" s="24"/>
      <c r="E188" s="24"/>
      <c r="F188" s="24"/>
      <c r="G188" s="24"/>
    </row>
    <row r="189" spans="1:8" x14ac:dyDescent="0.25">
      <c r="B189" s="18" t="s">
        <v>156</v>
      </c>
      <c r="C189" s="18" t="s">
        <v>157</v>
      </c>
      <c r="D189" s="18" t="s">
        <v>158</v>
      </c>
      <c r="E189" s="18" t="str">
        <f>CONCATENATE("i_",E190)</f>
        <v>i_main</v>
      </c>
      <c r="F189" s="18" t="str">
        <f>CONCATENATE("i_",F190)</f>
        <v>i_model</v>
      </c>
      <c r="G189" s="18" t="str">
        <f>CONCATENATE("i_",G190)</f>
        <v>i_clk</v>
      </c>
    </row>
    <row r="190" spans="1:8" x14ac:dyDescent="0.25">
      <c r="B190" s="18" t="s">
        <v>159</v>
      </c>
      <c r="C190" s="18"/>
      <c r="D190" s="18"/>
      <c r="E190" s="19" t="s">
        <v>66</v>
      </c>
      <c r="F190" s="18" t="s">
        <v>24</v>
      </c>
      <c r="G190" s="18" t="s">
        <v>31</v>
      </c>
    </row>
    <row r="191" spans="1:8" x14ac:dyDescent="0.25">
      <c r="B191" s="6" t="s">
        <v>160</v>
      </c>
      <c r="C191" s="6">
        <v>1</v>
      </c>
      <c r="D191" s="7" t="s">
        <v>64</v>
      </c>
      <c r="E191" s="7" t="s">
        <v>64</v>
      </c>
      <c r="F191" s="6"/>
      <c r="G191" s="7" t="s">
        <v>64</v>
      </c>
    </row>
    <row r="192" spans="1:8" x14ac:dyDescent="0.25">
      <c r="B192" s="6" t="s">
        <v>160</v>
      </c>
      <c r="C192" s="8">
        <v>1</v>
      </c>
      <c r="D192" s="7" t="s">
        <v>31</v>
      </c>
      <c r="E192" s="7" t="s">
        <v>31</v>
      </c>
      <c r="F192" s="7" t="s">
        <v>31</v>
      </c>
      <c r="G192" s="7" t="s">
        <v>31</v>
      </c>
    </row>
    <row r="193" spans="2:7" x14ac:dyDescent="0.25">
      <c r="B193" s="6" t="s">
        <v>160</v>
      </c>
      <c r="C193" s="8">
        <v>1</v>
      </c>
      <c r="D193" s="7" t="s">
        <v>547</v>
      </c>
      <c r="E193" s="7" t="s">
        <v>547</v>
      </c>
      <c r="F193" s="7" t="s">
        <v>547</v>
      </c>
      <c r="G193" s="7"/>
    </row>
    <row r="194" spans="2:7" x14ac:dyDescent="0.25">
      <c r="B194" s="6" t="s">
        <v>160</v>
      </c>
      <c r="C194" s="8">
        <v>1</v>
      </c>
      <c r="D194" s="7" t="s">
        <v>34</v>
      </c>
      <c r="E194" s="7" t="s">
        <v>34</v>
      </c>
      <c r="F194" s="7" t="s">
        <v>34</v>
      </c>
      <c r="G194" s="6"/>
    </row>
    <row r="195" spans="2:7" x14ac:dyDescent="0.25">
      <c r="B195" s="6" t="s">
        <v>160</v>
      </c>
      <c r="C195" s="8">
        <v>32</v>
      </c>
      <c r="D195" s="7" t="s">
        <v>36</v>
      </c>
      <c r="E195" s="7" t="s">
        <v>36</v>
      </c>
      <c r="F195" s="7" t="s">
        <v>36</v>
      </c>
      <c r="G195" s="7"/>
    </row>
    <row r="196" spans="2:7" x14ac:dyDescent="0.25">
      <c r="B196" s="6" t="s">
        <v>160</v>
      </c>
      <c r="C196" s="8" t="s">
        <v>39</v>
      </c>
      <c r="D196" s="7" t="s">
        <v>38</v>
      </c>
      <c r="E196" s="7" t="s">
        <v>38</v>
      </c>
      <c r="F196" s="7" t="s">
        <v>38</v>
      </c>
      <c r="G196" s="7"/>
    </row>
    <row r="197" spans="2:7" x14ac:dyDescent="0.25">
      <c r="B197" s="6" t="s">
        <v>160</v>
      </c>
      <c r="C197" s="8">
        <v>1</v>
      </c>
      <c r="D197" s="7" t="s">
        <v>43</v>
      </c>
      <c r="E197" s="7" t="s">
        <v>43</v>
      </c>
      <c r="F197" s="7" t="s">
        <v>43</v>
      </c>
      <c r="G197" s="7"/>
    </row>
    <row r="198" spans="2:7" x14ac:dyDescent="0.25">
      <c r="B198" s="6" t="s">
        <v>160</v>
      </c>
      <c r="C198" s="8" t="s">
        <v>52</v>
      </c>
      <c r="D198" s="7" t="s">
        <v>44</v>
      </c>
      <c r="E198" s="7" t="s">
        <v>44</v>
      </c>
      <c r="F198" s="7" t="s">
        <v>44</v>
      </c>
      <c r="G198" s="7"/>
    </row>
    <row r="199" spans="2:7" x14ac:dyDescent="0.25">
      <c r="B199" s="6" t="s">
        <v>160</v>
      </c>
      <c r="C199" s="8" t="s">
        <v>52</v>
      </c>
      <c r="D199" s="7" t="s">
        <v>46</v>
      </c>
      <c r="E199" s="7" t="s">
        <v>46</v>
      </c>
      <c r="F199" s="7" t="s">
        <v>46</v>
      </c>
      <c r="G199" s="7"/>
    </row>
    <row r="200" spans="2:7" x14ac:dyDescent="0.25">
      <c r="B200" s="6" t="s">
        <v>160</v>
      </c>
      <c r="C200" s="8">
        <v>1</v>
      </c>
      <c r="D200" s="7" t="s">
        <v>48</v>
      </c>
      <c r="E200" s="7" t="s">
        <v>48</v>
      </c>
      <c r="F200" s="7" t="s">
        <v>48</v>
      </c>
      <c r="G200" s="7"/>
    </row>
    <row r="201" spans="2:7" x14ac:dyDescent="0.25">
      <c r="B201" s="7"/>
      <c r="C201" s="7"/>
      <c r="D201" s="7"/>
      <c r="E201" s="7"/>
      <c r="F201" s="7"/>
      <c r="G201" s="7"/>
    </row>
    <row r="202" spans="2:7" x14ac:dyDescent="0.25">
      <c r="B202" s="7"/>
      <c r="C202" s="7"/>
      <c r="D202" s="7"/>
      <c r="E202" s="7"/>
      <c r="F202" s="7"/>
      <c r="G202" s="7"/>
    </row>
    <row r="203" spans="2:7" x14ac:dyDescent="0.25">
      <c r="B203" s="11" t="s">
        <v>68</v>
      </c>
      <c r="C203" s="11" t="s">
        <v>102</v>
      </c>
      <c r="D203" s="7"/>
      <c r="E203" s="7"/>
      <c r="F203" s="7"/>
      <c r="G203" s="7"/>
    </row>
    <row r="204" spans="2:7" x14ac:dyDescent="0.25">
      <c r="B204" s="11" t="s">
        <v>101</v>
      </c>
      <c r="C204" s="11"/>
      <c r="D204" s="7"/>
      <c r="E204" s="7"/>
      <c r="F204" s="7"/>
      <c r="G204" s="7"/>
    </row>
    <row r="205" spans="2:7" x14ac:dyDescent="0.25">
      <c r="B205" s="7" t="s">
        <v>68</v>
      </c>
      <c r="C205" s="7" t="s">
        <v>161</v>
      </c>
      <c r="D205" s="7"/>
      <c r="E205" s="7"/>
      <c r="F205" s="7"/>
      <c r="G205" s="7"/>
    </row>
    <row r="206" spans="2:7" x14ac:dyDescent="0.25">
      <c r="B206" s="7" t="s">
        <v>68</v>
      </c>
      <c r="C206" s="7" t="s">
        <v>162</v>
      </c>
      <c r="D206" s="7"/>
      <c r="E206" s="7"/>
      <c r="F206" s="7"/>
      <c r="G206" s="7"/>
    </row>
    <row r="207" spans="2:7" x14ac:dyDescent="0.25">
      <c r="B207" s="7" t="s">
        <v>68</v>
      </c>
      <c r="C207" s="7" t="s">
        <v>163</v>
      </c>
      <c r="D207" s="7"/>
      <c r="E207" s="7"/>
      <c r="F207" s="7"/>
      <c r="G207" s="7"/>
    </row>
    <row r="208" spans="2:7" x14ac:dyDescent="0.25">
      <c r="B208" s="11" t="s">
        <v>116</v>
      </c>
      <c r="C208" s="11"/>
      <c r="D208" s="7"/>
      <c r="E208" s="7"/>
      <c r="F208" s="7"/>
      <c r="G208" s="7"/>
    </row>
    <row r="209" spans="1:9" x14ac:dyDescent="0.25">
      <c r="B209" s="11" t="s">
        <v>68</v>
      </c>
      <c r="C209" s="21" t="s">
        <v>117</v>
      </c>
      <c r="D209" s="7"/>
      <c r="E209" s="7"/>
      <c r="F209" s="7"/>
      <c r="G209" s="7"/>
    </row>
    <row r="211" spans="1:9" x14ac:dyDescent="0.25">
      <c r="A211" s="3" t="s">
        <v>569</v>
      </c>
    </row>
    <row r="212" spans="1:9" x14ac:dyDescent="0.25">
      <c r="B212" s="7" t="s">
        <v>164</v>
      </c>
      <c r="C212" s="6" t="s">
        <v>22</v>
      </c>
      <c r="D212" s="7"/>
      <c r="E212" s="7"/>
      <c r="F212" s="7"/>
      <c r="G212" s="7"/>
      <c r="H212" s="7"/>
      <c r="I212" s="7"/>
    </row>
    <row r="213" spans="1:9" x14ac:dyDescent="0.25">
      <c r="B213" s="7"/>
      <c r="C213" s="6"/>
      <c r="D213" s="7"/>
      <c r="E213" s="7"/>
      <c r="F213" s="7"/>
      <c r="G213" s="7"/>
      <c r="H213" s="7"/>
      <c r="I213" s="7"/>
    </row>
    <row r="214" spans="1:9" x14ac:dyDescent="0.25">
      <c r="B214" s="7" t="s">
        <v>165</v>
      </c>
      <c r="C214" s="6" t="s">
        <v>22</v>
      </c>
      <c r="D214" s="7"/>
      <c r="E214" s="7"/>
      <c r="F214" s="7"/>
      <c r="G214" s="7"/>
      <c r="H214" s="7"/>
      <c r="I214" s="7"/>
    </row>
    <row r="215" spans="1:9" x14ac:dyDescent="0.25">
      <c r="B215" s="19" t="s">
        <v>19</v>
      </c>
      <c r="C215" s="18" t="s">
        <v>166</v>
      </c>
      <c r="D215" s="19"/>
      <c r="E215" s="19"/>
      <c r="F215" s="7"/>
      <c r="G215" s="7"/>
      <c r="H215" s="7"/>
      <c r="I215" s="7"/>
    </row>
    <row r="216" spans="1:9" x14ac:dyDescent="0.25">
      <c r="B216" s="7" t="s">
        <v>167</v>
      </c>
      <c r="C216" s="7" t="s">
        <v>168</v>
      </c>
      <c r="D216" s="7" t="s">
        <v>169</v>
      </c>
      <c r="E216" s="7" t="s">
        <v>170</v>
      </c>
      <c r="F216" s="7"/>
      <c r="G216" s="7"/>
      <c r="H216" s="7"/>
      <c r="I216" s="7"/>
    </row>
    <row r="217" spans="1:9" x14ac:dyDescent="0.25">
      <c r="B217" s="7" t="s">
        <v>167</v>
      </c>
      <c r="C217" s="7" t="s">
        <v>171</v>
      </c>
      <c r="D217" s="7" t="s">
        <v>169</v>
      </c>
      <c r="E217" s="7" t="s">
        <v>172</v>
      </c>
      <c r="F217" s="7"/>
      <c r="G217" s="7"/>
      <c r="H217" s="7"/>
      <c r="I217" s="7"/>
    </row>
    <row r="218" spans="1:9" x14ac:dyDescent="0.25">
      <c r="B218" s="7" t="s">
        <v>167</v>
      </c>
      <c r="C218" s="7" t="s">
        <v>173</v>
      </c>
      <c r="D218" s="7" t="s">
        <v>169</v>
      </c>
      <c r="E218" s="7" t="s">
        <v>174</v>
      </c>
      <c r="F218" s="7"/>
      <c r="G218" s="7"/>
      <c r="H218" s="7"/>
      <c r="I218" s="7"/>
    </row>
    <row r="219" spans="1:9" x14ac:dyDescent="0.25">
      <c r="B219" s="7" t="s">
        <v>167</v>
      </c>
      <c r="C219" s="7" t="s">
        <v>175</v>
      </c>
      <c r="D219" s="7" t="s">
        <v>169</v>
      </c>
      <c r="E219" s="7" t="s">
        <v>176</v>
      </c>
      <c r="F219" s="7"/>
      <c r="G219" s="7"/>
      <c r="H219" s="7"/>
      <c r="I219" s="7"/>
    </row>
    <row r="220" spans="1:9" x14ac:dyDescent="0.25">
      <c r="B220" s="11"/>
      <c r="C220" s="11"/>
      <c r="D220" s="7"/>
      <c r="E220" s="7"/>
      <c r="F220" s="7"/>
      <c r="G220" s="7"/>
      <c r="H220" s="7"/>
      <c r="I220" s="7"/>
    </row>
    <row r="221" spans="1:9" x14ac:dyDescent="0.25">
      <c r="B221" s="7" t="s">
        <v>165</v>
      </c>
      <c r="C221" s="6" t="s">
        <v>177</v>
      </c>
      <c r="D221" s="7"/>
      <c r="E221" s="7"/>
      <c r="F221" s="7"/>
      <c r="G221" s="7"/>
      <c r="H221" s="7"/>
      <c r="I221" s="7"/>
    </row>
    <row r="222" spans="1:9" x14ac:dyDescent="0.25">
      <c r="B222" s="11"/>
      <c r="C222" s="11"/>
      <c r="D222" s="11"/>
      <c r="E222" s="11"/>
      <c r="F222" s="11"/>
      <c r="G222" s="11"/>
      <c r="H222" s="11"/>
      <c r="I222" s="11"/>
    </row>
    <row r="223" spans="1:9" x14ac:dyDescent="0.25">
      <c r="B223" s="19" t="s">
        <v>19</v>
      </c>
      <c r="C223" s="18" t="s">
        <v>178</v>
      </c>
      <c r="D223" s="19"/>
      <c r="E223" s="19"/>
      <c r="F223" s="11"/>
      <c r="G223" s="11"/>
      <c r="H223" s="11"/>
      <c r="I223" s="11"/>
    </row>
    <row r="224" spans="1:9" x14ac:dyDescent="0.25">
      <c r="B224" s="11" t="s">
        <v>165</v>
      </c>
      <c r="C224" s="7" t="s">
        <v>170</v>
      </c>
      <c r="D224" s="11"/>
      <c r="E224" s="11"/>
      <c r="F224" s="11"/>
      <c r="G224" s="11"/>
      <c r="H224" s="11"/>
      <c r="I224" s="11"/>
    </row>
    <row r="225" spans="2:9" x14ac:dyDescent="0.25">
      <c r="B225" s="7" t="s">
        <v>179</v>
      </c>
      <c r="C225" s="8" t="s">
        <v>91</v>
      </c>
      <c r="D225" s="21" t="s">
        <v>92</v>
      </c>
      <c r="E225" s="11"/>
      <c r="F225" s="11"/>
      <c r="G225" s="11"/>
      <c r="H225" s="11"/>
      <c r="I225" s="11"/>
    </row>
    <row r="226" spans="2:9" x14ac:dyDescent="0.25">
      <c r="B226" s="6" t="s">
        <v>180</v>
      </c>
      <c r="C226" s="6" t="s">
        <v>93</v>
      </c>
      <c r="D226" s="6">
        <v>0</v>
      </c>
      <c r="E226" s="6">
        <v>5</v>
      </c>
      <c r="F226" s="11"/>
      <c r="G226" s="11"/>
      <c r="H226" s="11"/>
      <c r="I226" s="11"/>
    </row>
    <row r="227" spans="2:9" x14ac:dyDescent="0.25">
      <c r="B227" s="6" t="s">
        <v>180</v>
      </c>
      <c r="C227" s="6" t="s">
        <v>96</v>
      </c>
      <c r="D227" s="6">
        <v>0</v>
      </c>
      <c r="E227" s="6">
        <v>5</v>
      </c>
      <c r="F227" s="11"/>
      <c r="G227" s="11"/>
      <c r="H227" s="11"/>
      <c r="I227" s="11"/>
    </row>
    <row r="228" spans="2:9" x14ac:dyDescent="0.25">
      <c r="B228" s="7" t="s">
        <v>181</v>
      </c>
      <c r="C228" s="7" t="s">
        <v>87</v>
      </c>
      <c r="D228" s="7"/>
      <c r="E228" s="7"/>
      <c r="F228" s="7"/>
      <c r="G228" s="7"/>
      <c r="H228" s="7"/>
      <c r="I228" s="7"/>
    </row>
    <row r="229" spans="2:9" x14ac:dyDescent="0.25">
      <c r="B229" s="17" t="s">
        <v>21</v>
      </c>
      <c r="C229" s="16" t="s">
        <v>91</v>
      </c>
      <c r="D229" s="22" t="s">
        <v>92</v>
      </c>
      <c r="E229" s="22" t="s">
        <v>93</v>
      </c>
      <c r="F229" s="7"/>
      <c r="G229" s="7"/>
      <c r="H229" s="7"/>
      <c r="I229" s="7"/>
    </row>
    <row r="230" spans="2:9" x14ac:dyDescent="0.25">
      <c r="B230" s="7" t="s">
        <v>182</v>
      </c>
      <c r="C230" s="7" t="s">
        <v>183</v>
      </c>
      <c r="D230" s="7" t="s">
        <v>184</v>
      </c>
      <c r="E230" s="7" t="s">
        <v>185</v>
      </c>
      <c r="F230" s="7"/>
      <c r="G230" s="7"/>
      <c r="H230" s="7"/>
      <c r="I230" s="7"/>
    </row>
    <row r="231" spans="2:9" x14ac:dyDescent="0.25">
      <c r="B231" s="7" t="s">
        <v>181</v>
      </c>
      <c r="C231" s="7" t="s">
        <v>95</v>
      </c>
      <c r="D231" s="11"/>
      <c r="E231" s="11"/>
      <c r="F231" s="7"/>
      <c r="G231" s="7"/>
      <c r="H231" s="7"/>
      <c r="I231" s="7"/>
    </row>
    <row r="232" spans="2:9" x14ac:dyDescent="0.25">
      <c r="B232" s="17" t="s">
        <v>21</v>
      </c>
      <c r="C232" s="16" t="s">
        <v>96</v>
      </c>
      <c r="D232" s="7"/>
      <c r="E232" s="7"/>
      <c r="F232" s="7"/>
      <c r="G232" s="7"/>
      <c r="H232" s="7"/>
      <c r="I232" s="7"/>
    </row>
    <row r="233" spans="2:9" x14ac:dyDescent="0.25">
      <c r="B233" s="7" t="s">
        <v>182</v>
      </c>
      <c r="C233" s="7" t="s">
        <v>186</v>
      </c>
      <c r="D233" s="7"/>
      <c r="E233" s="7"/>
      <c r="F233" s="7"/>
      <c r="G233" s="7"/>
      <c r="H233" s="7"/>
      <c r="I233" s="7"/>
    </row>
    <row r="234" spans="2:9" x14ac:dyDescent="0.25">
      <c r="B234" s="11"/>
      <c r="C234" s="11"/>
      <c r="D234" s="11"/>
      <c r="E234" s="11"/>
      <c r="F234" s="7"/>
      <c r="G234" s="7"/>
      <c r="H234" s="7"/>
      <c r="I234" s="7"/>
    </row>
    <row r="235" spans="2:9" x14ac:dyDescent="0.25">
      <c r="B235" s="19" t="s">
        <v>19</v>
      </c>
      <c r="C235" s="18" t="s">
        <v>187</v>
      </c>
      <c r="D235" s="19"/>
      <c r="E235" s="19"/>
      <c r="F235" s="7"/>
      <c r="G235" s="7"/>
      <c r="H235" s="7"/>
      <c r="I235" s="7"/>
    </row>
    <row r="236" spans="2:9" x14ac:dyDescent="0.25">
      <c r="B236" s="11" t="s">
        <v>165</v>
      </c>
      <c r="C236" s="7" t="s">
        <v>188</v>
      </c>
      <c r="D236" s="11"/>
      <c r="E236" s="11"/>
      <c r="F236" s="11"/>
      <c r="G236" s="11"/>
      <c r="H236" s="11"/>
      <c r="I236" s="11"/>
    </row>
    <row r="237" spans="2:9" x14ac:dyDescent="0.25">
      <c r="B237" s="7" t="s">
        <v>179</v>
      </c>
      <c r="C237" s="11" t="s">
        <v>80</v>
      </c>
      <c r="D237" s="11"/>
      <c r="E237" s="11"/>
      <c r="F237" s="11"/>
      <c r="G237" s="11"/>
      <c r="H237" s="11"/>
      <c r="I237" s="11"/>
    </row>
    <row r="238" spans="2:9" x14ac:dyDescent="0.25">
      <c r="B238" s="11" t="s">
        <v>189</v>
      </c>
      <c r="C238" s="11" t="s">
        <v>190</v>
      </c>
      <c r="D238" s="11" t="s">
        <v>191</v>
      </c>
      <c r="E238" s="11"/>
      <c r="F238" s="11"/>
      <c r="G238" s="11"/>
      <c r="H238" s="11"/>
      <c r="I238" s="11"/>
    </row>
    <row r="239" spans="2:9" x14ac:dyDescent="0.25">
      <c r="B239" s="11"/>
      <c r="C239" s="6" t="s">
        <v>180</v>
      </c>
      <c r="D239" s="8" t="s">
        <v>192</v>
      </c>
      <c r="E239" s="11" t="s">
        <v>122</v>
      </c>
      <c r="F239" s="25" t="s">
        <v>193</v>
      </c>
      <c r="G239" s="11"/>
      <c r="H239" s="11"/>
      <c r="I239" s="11"/>
    </row>
    <row r="240" spans="2:9" x14ac:dyDescent="0.25">
      <c r="B240" s="11"/>
      <c r="C240" s="6" t="s">
        <v>180</v>
      </c>
      <c r="D240" s="8" t="s">
        <v>194</v>
      </c>
      <c r="E240" s="11" t="s">
        <v>122</v>
      </c>
      <c r="F240" s="25" t="s">
        <v>193</v>
      </c>
      <c r="G240" s="11"/>
      <c r="H240" s="11"/>
      <c r="I240" s="11"/>
    </row>
    <row r="241" spans="2:9" x14ac:dyDescent="0.25">
      <c r="B241" s="11"/>
      <c r="C241" s="6" t="s">
        <v>180</v>
      </c>
      <c r="D241" s="21" t="s">
        <v>195</v>
      </c>
      <c r="E241" s="11" t="s">
        <v>122</v>
      </c>
      <c r="F241" s="25" t="s">
        <v>193</v>
      </c>
      <c r="G241" s="11"/>
      <c r="H241" s="11"/>
      <c r="I241" s="11"/>
    </row>
    <row r="242" spans="2:9" x14ac:dyDescent="0.25">
      <c r="B242" s="11"/>
      <c r="C242" s="6" t="s">
        <v>180</v>
      </c>
      <c r="D242" s="21" t="s">
        <v>196</v>
      </c>
      <c r="E242" s="11" t="s">
        <v>122</v>
      </c>
      <c r="F242" s="25" t="s">
        <v>193</v>
      </c>
      <c r="G242" s="11"/>
      <c r="H242" s="11"/>
      <c r="I242" s="11"/>
    </row>
    <row r="243" spans="2:9" x14ac:dyDescent="0.25">
      <c r="B243" s="11"/>
      <c r="C243" s="11" t="s">
        <v>197</v>
      </c>
      <c r="D243" s="11" t="s">
        <v>198</v>
      </c>
      <c r="E243" s="11" t="s">
        <v>199</v>
      </c>
      <c r="F243" s="11" t="s">
        <v>200</v>
      </c>
      <c r="G243" s="11"/>
      <c r="H243" s="11"/>
      <c r="I243" s="11"/>
    </row>
    <row r="244" spans="2:9" x14ac:dyDescent="0.25">
      <c r="B244" s="11" t="s">
        <v>201</v>
      </c>
      <c r="C244" s="11"/>
      <c r="D244" s="11"/>
      <c r="E244" s="11"/>
      <c r="F244" s="11"/>
      <c r="G244" s="11"/>
      <c r="H244" s="11"/>
      <c r="I244" s="11"/>
    </row>
    <row r="245" spans="2:9" x14ac:dyDescent="0.25">
      <c r="B245" s="11"/>
      <c r="C245" s="11"/>
      <c r="D245" s="11"/>
      <c r="E245" s="11"/>
      <c r="F245" s="11"/>
      <c r="G245" s="11"/>
      <c r="H245" s="11"/>
      <c r="I245" s="11"/>
    </row>
    <row r="246" spans="2:9" x14ac:dyDescent="0.25">
      <c r="B246" s="24" t="s">
        <v>19</v>
      </c>
      <c r="C246" s="24" t="s">
        <v>202</v>
      </c>
      <c r="D246" s="24"/>
      <c r="E246" s="24"/>
      <c r="F246" s="24"/>
      <c r="G246" s="24"/>
      <c r="H246" s="24"/>
      <c r="I246" s="7"/>
    </row>
    <row r="247" spans="2:9" x14ac:dyDescent="0.25">
      <c r="B247" s="7" t="s">
        <v>165</v>
      </c>
      <c r="C247" s="7" t="s">
        <v>174</v>
      </c>
      <c r="D247" s="7"/>
      <c r="E247" s="7"/>
      <c r="F247" s="7"/>
      <c r="G247" s="7"/>
      <c r="H247" s="7"/>
      <c r="I247" s="7"/>
    </row>
    <row r="248" spans="2:9" x14ac:dyDescent="0.25">
      <c r="B248" s="7" t="s">
        <v>203</v>
      </c>
      <c r="C248" s="7" t="s">
        <v>204</v>
      </c>
      <c r="D248" s="7"/>
      <c r="E248" s="7"/>
      <c r="F248" s="7"/>
      <c r="G248" s="7"/>
      <c r="H248" s="7"/>
      <c r="I248" s="7"/>
    </row>
    <row r="249" spans="2:9" x14ac:dyDescent="0.25">
      <c r="B249" s="7" t="s">
        <v>203</v>
      </c>
      <c r="C249" s="7" t="s">
        <v>205</v>
      </c>
      <c r="D249" s="7"/>
      <c r="E249" s="7"/>
      <c r="F249" s="7"/>
      <c r="G249" s="7"/>
      <c r="H249" s="7"/>
      <c r="I249" s="7"/>
    </row>
    <row r="250" spans="2:9" x14ac:dyDescent="0.25">
      <c r="B250" s="7" t="s">
        <v>203</v>
      </c>
      <c r="C250" s="7" t="s">
        <v>206</v>
      </c>
      <c r="D250" s="7"/>
      <c r="E250" s="7"/>
      <c r="F250" s="7"/>
      <c r="G250" s="7"/>
      <c r="H250" s="7"/>
      <c r="I250" s="7"/>
    </row>
    <row r="251" spans="2:9" x14ac:dyDescent="0.25">
      <c r="B251" s="7" t="s">
        <v>203</v>
      </c>
      <c r="C251" s="7" t="s">
        <v>207</v>
      </c>
      <c r="D251" s="7"/>
      <c r="E251" s="7"/>
      <c r="F251" s="7"/>
      <c r="G251" s="7"/>
      <c r="H251" s="7"/>
      <c r="I251" s="7"/>
    </row>
    <row r="252" spans="2:9" x14ac:dyDescent="0.25">
      <c r="B252" s="7" t="s">
        <v>203</v>
      </c>
      <c r="C252" s="7" t="s">
        <v>208</v>
      </c>
      <c r="D252" s="7"/>
      <c r="E252" s="7"/>
      <c r="F252" s="7"/>
      <c r="G252" s="7"/>
      <c r="H252" s="7"/>
      <c r="I252" s="7"/>
    </row>
    <row r="253" spans="2:9" x14ac:dyDescent="0.25">
      <c r="B253" s="7" t="s">
        <v>203</v>
      </c>
      <c r="C253" s="7" t="s">
        <v>80</v>
      </c>
      <c r="D253" s="11" t="s">
        <v>122</v>
      </c>
      <c r="E253" s="7"/>
      <c r="F253" s="7"/>
      <c r="G253" s="7"/>
      <c r="H253" s="7"/>
      <c r="I253" s="7"/>
    </row>
    <row r="254" spans="2:9" x14ac:dyDescent="0.25">
      <c r="B254" s="7" t="s">
        <v>189</v>
      </c>
      <c r="C254" s="7" t="s">
        <v>190</v>
      </c>
      <c r="D254" s="7" t="s">
        <v>209</v>
      </c>
      <c r="E254" s="7"/>
      <c r="F254" s="7"/>
      <c r="G254" s="7"/>
      <c r="H254" s="7"/>
      <c r="I254" s="7"/>
    </row>
    <row r="255" spans="2:9" x14ac:dyDescent="0.25">
      <c r="B255" s="7"/>
      <c r="C255" s="7" t="s">
        <v>210</v>
      </c>
      <c r="D255" s="7" t="s">
        <v>211</v>
      </c>
      <c r="E255" s="7" t="s">
        <v>212</v>
      </c>
      <c r="F255" s="7"/>
      <c r="G255" s="7"/>
      <c r="H255" s="7"/>
      <c r="I255" s="7"/>
    </row>
    <row r="256" spans="2:9" x14ac:dyDescent="0.25">
      <c r="B256" s="7"/>
      <c r="C256" s="7" t="s">
        <v>213</v>
      </c>
      <c r="D256" s="7" t="s">
        <v>214</v>
      </c>
      <c r="E256" s="7"/>
      <c r="F256" s="7"/>
      <c r="G256" s="7"/>
      <c r="H256" s="7"/>
      <c r="I256" s="7"/>
    </row>
    <row r="257" spans="2:9" x14ac:dyDescent="0.25">
      <c r="B257" s="7"/>
      <c r="C257" s="7"/>
      <c r="D257" s="7" t="s">
        <v>215</v>
      </c>
      <c r="E257" s="7"/>
      <c r="F257" s="7"/>
      <c r="G257" s="7"/>
      <c r="H257" s="7"/>
      <c r="I257" s="7"/>
    </row>
    <row r="258" spans="2:9" x14ac:dyDescent="0.25">
      <c r="B258" s="7"/>
      <c r="C258" s="7" t="s">
        <v>216</v>
      </c>
      <c r="D258" s="7"/>
      <c r="E258" s="7"/>
      <c r="F258" s="7"/>
      <c r="G258" s="7"/>
      <c r="H258" s="7"/>
      <c r="I258" s="7"/>
    </row>
    <row r="259" spans="2:9" x14ac:dyDescent="0.25">
      <c r="B259" s="7"/>
      <c r="C259" s="7" t="s">
        <v>213</v>
      </c>
      <c r="D259" s="7" t="s">
        <v>204</v>
      </c>
      <c r="E259" s="7"/>
      <c r="F259" s="7"/>
      <c r="G259" s="7"/>
      <c r="H259" s="7"/>
      <c r="I259" s="7"/>
    </row>
    <row r="260" spans="2:9" x14ac:dyDescent="0.25">
      <c r="B260" s="7"/>
      <c r="C260" s="7"/>
      <c r="D260" s="7" t="s">
        <v>217</v>
      </c>
      <c r="E260" s="7" t="s">
        <v>204</v>
      </c>
      <c r="F260" s="7" t="s">
        <v>214</v>
      </c>
      <c r="G260" s="7"/>
      <c r="H260" s="7"/>
      <c r="I260" s="7"/>
    </row>
    <row r="261" spans="2:9" x14ac:dyDescent="0.25">
      <c r="B261" s="7"/>
      <c r="C261" s="7"/>
      <c r="D261" s="7" t="s">
        <v>215</v>
      </c>
      <c r="E261" s="7"/>
      <c r="F261" s="7"/>
      <c r="G261" s="7"/>
      <c r="H261" s="7"/>
      <c r="I261" s="7"/>
    </row>
    <row r="262" spans="2:9" x14ac:dyDescent="0.25">
      <c r="B262" s="7"/>
      <c r="C262" s="7" t="s">
        <v>216</v>
      </c>
      <c r="D262" s="7"/>
      <c r="E262" s="7"/>
      <c r="F262" s="7"/>
      <c r="G262" s="7"/>
      <c r="H262" s="7"/>
      <c r="I262" s="7"/>
    </row>
    <row r="263" spans="2:9" x14ac:dyDescent="0.25">
      <c r="B263" s="7"/>
      <c r="C263" s="7" t="s">
        <v>213</v>
      </c>
      <c r="D263" s="7" t="s">
        <v>205</v>
      </c>
      <c r="E263" s="7"/>
      <c r="F263" s="7"/>
      <c r="G263" s="7"/>
      <c r="H263" s="7"/>
      <c r="I263" s="7"/>
    </row>
    <row r="264" spans="2:9" x14ac:dyDescent="0.25">
      <c r="B264" s="7"/>
      <c r="C264" s="7"/>
      <c r="D264" s="7" t="s">
        <v>217</v>
      </c>
      <c r="E264" s="7" t="s">
        <v>205</v>
      </c>
      <c r="F264" s="7" t="s">
        <v>214</v>
      </c>
      <c r="G264" s="7"/>
      <c r="H264" s="7"/>
      <c r="I264" s="7"/>
    </row>
    <row r="265" spans="2:9" x14ac:dyDescent="0.25">
      <c r="B265" s="7"/>
      <c r="C265" s="7"/>
      <c r="D265" s="7" t="s">
        <v>215</v>
      </c>
      <c r="E265" s="7"/>
      <c r="F265" s="7"/>
      <c r="G265" s="7"/>
      <c r="H265" s="7"/>
      <c r="I265" s="7"/>
    </row>
    <row r="266" spans="2:9" x14ac:dyDescent="0.25">
      <c r="B266" s="7"/>
      <c r="C266" s="7" t="s">
        <v>216</v>
      </c>
      <c r="D266" s="7"/>
      <c r="E266" s="7"/>
      <c r="F266" s="7"/>
      <c r="G266" s="7"/>
      <c r="H266" s="7"/>
      <c r="I266" s="7"/>
    </row>
    <row r="267" spans="2:9" x14ac:dyDescent="0.25">
      <c r="B267" s="7"/>
      <c r="C267" s="7" t="s">
        <v>213</v>
      </c>
      <c r="D267" s="7" t="s">
        <v>206</v>
      </c>
      <c r="E267" s="7"/>
      <c r="F267" s="7"/>
      <c r="G267" s="7"/>
      <c r="H267" s="7"/>
      <c r="I267" s="7"/>
    </row>
    <row r="268" spans="2:9" x14ac:dyDescent="0.25">
      <c r="B268" s="7"/>
      <c r="C268" s="7"/>
      <c r="D268" s="7" t="s">
        <v>217</v>
      </c>
      <c r="E268" s="7" t="s">
        <v>206</v>
      </c>
      <c r="F268" s="7" t="s">
        <v>214</v>
      </c>
      <c r="G268" s="7"/>
      <c r="H268" s="7"/>
      <c r="I268" s="7"/>
    </row>
    <row r="269" spans="2:9" x14ac:dyDescent="0.25">
      <c r="B269" s="7"/>
      <c r="C269" s="7"/>
      <c r="D269" s="7" t="s">
        <v>215</v>
      </c>
      <c r="E269" s="7"/>
      <c r="F269" s="7"/>
      <c r="G269" s="7"/>
      <c r="H269" s="7"/>
      <c r="I269" s="7"/>
    </row>
    <row r="270" spans="2:9" x14ac:dyDescent="0.25">
      <c r="B270" s="7"/>
      <c r="C270" s="7" t="s">
        <v>216</v>
      </c>
      <c r="D270" s="7"/>
      <c r="E270" s="7"/>
      <c r="F270" s="7"/>
      <c r="G270" s="7"/>
      <c r="H270" s="7"/>
      <c r="I270" s="7"/>
    </row>
    <row r="271" spans="2:9" x14ac:dyDescent="0.25">
      <c r="B271" s="7"/>
      <c r="C271" s="7" t="s">
        <v>213</v>
      </c>
      <c r="D271" s="7" t="s">
        <v>207</v>
      </c>
      <c r="E271" s="7"/>
      <c r="F271" s="7"/>
      <c r="G271" s="7"/>
      <c r="H271" s="7"/>
      <c r="I271" s="7"/>
    </row>
    <row r="272" spans="2:9" x14ac:dyDescent="0.25">
      <c r="B272" s="7"/>
      <c r="C272" s="7"/>
      <c r="D272" s="7" t="s">
        <v>217</v>
      </c>
      <c r="E272" s="7" t="s">
        <v>207</v>
      </c>
      <c r="F272" s="7" t="s">
        <v>214</v>
      </c>
      <c r="G272" s="7"/>
      <c r="H272" s="7"/>
      <c r="I272" s="7"/>
    </row>
    <row r="273" spans="2:9" x14ac:dyDescent="0.25">
      <c r="B273" s="7"/>
      <c r="C273" s="7"/>
      <c r="D273" s="7" t="s">
        <v>215</v>
      </c>
      <c r="E273" s="7"/>
      <c r="F273" s="7"/>
      <c r="G273" s="7"/>
      <c r="H273" s="7"/>
      <c r="I273" s="7"/>
    </row>
    <row r="274" spans="2:9" x14ac:dyDescent="0.25">
      <c r="B274" s="7"/>
      <c r="C274" s="7" t="s">
        <v>216</v>
      </c>
      <c r="D274" s="7"/>
      <c r="E274" s="7"/>
      <c r="F274" s="7"/>
      <c r="G274" s="7"/>
      <c r="H274" s="7"/>
      <c r="I274" s="7"/>
    </row>
    <row r="275" spans="2:9" x14ac:dyDescent="0.25">
      <c r="B275" s="7"/>
      <c r="C275" s="7" t="s">
        <v>218</v>
      </c>
      <c r="D275" s="7" t="s">
        <v>208</v>
      </c>
      <c r="E275" s="7" t="s">
        <v>191</v>
      </c>
      <c r="F275" s="7" t="s">
        <v>214</v>
      </c>
      <c r="G275" s="7"/>
      <c r="H275" s="7"/>
      <c r="I275" s="7"/>
    </row>
    <row r="276" spans="2:9" x14ac:dyDescent="0.25">
      <c r="B276" s="7"/>
      <c r="C276" s="7" t="s">
        <v>217</v>
      </c>
      <c r="D276" s="7" t="s">
        <v>80</v>
      </c>
      <c r="E276" s="7" t="s">
        <v>219</v>
      </c>
      <c r="F276" s="7"/>
      <c r="G276" s="7"/>
      <c r="H276" s="7"/>
      <c r="I276" s="7"/>
    </row>
    <row r="277" spans="2:9" x14ac:dyDescent="0.25">
      <c r="B277" s="7" t="s">
        <v>201</v>
      </c>
      <c r="C277" s="7"/>
      <c r="D277" s="7"/>
      <c r="E277" s="7"/>
      <c r="F277" s="7"/>
      <c r="G277" s="7"/>
      <c r="H277" s="7"/>
      <c r="I277" s="7"/>
    </row>
    <row r="278" spans="2:9" x14ac:dyDescent="0.25">
      <c r="B278" s="7" t="s">
        <v>220</v>
      </c>
      <c r="C278" s="7" t="s">
        <v>221</v>
      </c>
      <c r="D278" s="7"/>
      <c r="E278" s="7"/>
      <c r="F278" s="7"/>
      <c r="G278" s="7"/>
      <c r="H278" s="7"/>
      <c r="I278" s="7"/>
    </row>
    <row r="279" spans="2:9" x14ac:dyDescent="0.25">
      <c r="B279" s="7" t="s">
        <v>222</v>
      </c>
      <c r="C279" s="7" t="s">
        <v>206</v>
      </c>
      <c r="D279" s="7"/>
      <c r="E279" s="7"/>
      <c r="F279" s="7"/>
      <c r="G279" s="7"/>
      <c r="H279" s="7"/>
      <c r="I279" s="7"/>
    </row>
    <row r="280" spans="2:9" x14ac:dyDescent="0.25">
      <c r="B280" s="7"/>
      <c r="C280" s="7" t="s">
        <v>213</v>
      </c>
      <c r="D280" s="7" t="s">
        <v>205</v>
      </c>
      <c r="E280" s="7" t="s">
        <v>223</v>
      </c>
      <c r="F280" s="7"/>
      <c r="G280" s="7"/>
      <c r="H280" s="7"/>
      <c r="I280" s="7"/>
    </row>
    <row r="281" spans="2:9" x14ac:dyDescent="0.25">
      <c r="B281" s="7"/>
      <c r="C281" s="7"/>
      <c r="D281" s="7" t="s">
        <v>224</v>
      </c>
      <c r="E281" s="7" t="s">
        <v>221</v>
      </c>
      <c r="F281" s="7" t="s">
        <v>225</v>
      </c>
      <c r="G281" s="7" t="s">
        <v>226</v>
      </c>
      <c r="H281" s="7"/>
      <c r="I281" s="7"/>
    </row>
    <row r="282" spans="2:9" x14ac:dyDescent="0.25">
      <c r="B282" s="7"/>
      <c r="C282" s="7" t="s">
        <v>227</v>
      </c>
      <c r="D282" s="7"/>
      <c r="E282" s="7"/>
      <c r="F282" s="7"/>
      <c r="G282" s="7"/>
      <c r="H282" s="7"/>
      <c r="I282" s="7"/>
    </row>
    <row r="283" spans="2:9" x14ac:dyDescent="0.25">
      <c r="B283" s="7"/>
      <c r="C283" s="7"/>
      <c r="D283" s="7" t="s">
        <v>222</v>
      </c>
      <c r="E283" s="7" t="s">
        <v>207</v>
      </c>
      <c r="F283" s="7"/>
      <c r="G283" s="7"/>
      <c r="H283" s="7"/>
      <c r="I283" s="7"/>
    </row>
    <row r="284" spans="2:9" x14ac:dyDescent="0.25">
      <c r="B284" s="7"/>
      <c r="C284" s="7"/>
      <c r="D284" s="7"/>
      <c r="E284" s="7" t="s">
        <v>228</v>
      </c>
      <c r="F284" s="7" t="s">
        <v>221</v>
      </c>
      <c r="G284" s="7" t="s">
        <v>225</v>
      </c>
      <c r="H284" s="7" t="s">
        <v>226</v>
      </c>
      <c r="I284" s="7"/>
    </row>
    <row r="285" spans="2:9" x14ac:dyDescent="0.25">
      <c r="B285" s="7"/>
      <c r="C285" s="7"/>
      <c r="D285" s="7" t="s">
        <v>216</v>
      </c>
      <c r="E285" s="7"/>
      <c r="F285" s="7"/>
      <c r="G285" s="7"/>
      <c r="H285" s="7"/>
      <c r="I285" s="7"/>
    </row>
    <row r="286" spans="2:9" x14ac:dyDescent="0.25">
      <c r="B286" s="7"/>
      <c r="C286" s="7" t="s">
        <v>216</v>
      </c>
      <c r="D286" s="7"/>
      <c r="E286" s="7"/>
      <c r="F286" s="7"/>
      <c r="G286" s="7"/>
      <c r="H286" s="7"/>
      <c r="I286" s="7"/>
    </row>
    <row r="287" spans="2:9" x14ac:dyDescent="0.25">
      <c r="B287" s="7" t="s">
        <v>216</v>
      </c>
      <c r="C287" s="7"/>
      <c r="D287" s="7"/>
      <c r="E287" s="7"/>
      <c r="F287" s="7"/>
      <c r="G287" s="7"/>
      <c r="H287" s="7"/>
      <c r="I287" s="7"/>
    </row>
    <row r="288" spans="2:9" x14ac:dyDescent="0.25">
      <c r="B288" s="7"/>
      <c r="C288" s="7"/>
      <c r="D288" s="7"/>
      <c r="E288" s="7"/>
      <c r="F288" s="7"/>
      <c r="G288" s="7"/>
      <c r="H288" s="7"/>
      <c r="I288" s="7"/>
    </row>
    <row r="289" spans="2:9" x14ac:dyDescent="0.25">
      <c r="B289" s="24" t="s">
        <v>19</v>
      </c>
      <c r="C289" s="24" t="s">
        <v>229</v>
      </c>
      <c r="D289" s="24"/>
      <c r="E289" s="24"/>
      <c r="F289" s="24"/>
      <c r="G289" s="24"/>
      <c r="H289" s="24"/>
      <c r="I289" s="7"/>
    </row>
    <row r="290" spans="2:9" x14ac:dyDescent="0.25">
      <c r="B290" s="7" t="s">
        <v>165</v>
      </c>
      <c r="C290" s="7" t="s">
        <v>176</v>
      </c>
      <c r="D290" s="7"/>
      <c r="E290" s="7"/>
      <c r="F290" s="7"/>
      <c r="G290" s="7"/>
      <c r="H290" s="7"/>
      <c r="I290" s="7"/>
    </row>
    <row r="291" spans="2:9" x14ac:dyDescent="0.25">
      <c r="B291" s="7" t="s">
        <v>230</v>
      </c>
      <c r="C291" s="7" t="s">
        <v>231</v>
      </c>
      <c r="D291" s="7" t="s">
        <v>232</v>
      </c>
      <c r="E291" s="7" t="s">
        <v>233</v>
      </c>
      <c r="F291" s="7" t="s">
        <v>234</v>
      </c>
      <c r="G291" s="7"/>
      <c r="H291" s="7"/>
      <c r="I291" s="7"/>
    </row>
    <row r="292" spans="2:9" x14ac:dyDescent="0.25">
      <c r="B292" s="11" t="s">
        <v>235</v>
      </c>
      <c r="C292" s="11" t="s">
        <v>236</v>
      </c>
      <c r="D292" s="11"/>
      <c r="E292" s="11"/>
      <c r="F292" s="11"/>
      <c r="G292" s="11"/>
      <c r="H292" s="11"/>
      <c r="I292" s="11"/>
    </row>
    <row r="293" spans="2:9" x14ac:dyDescent="0.25">
      <c r="B293" s="11" t="s">
        <v>235</v>
      </c>
      <c r="C293" s="11" t="s">
        <v>237</v>
      </c>
      <c r="D293" s="11"/>
      <c r="E293" s="11"/>
      <c r="F293" s="11"/>
      <c r="G293" s="11"/>
      <c r="H293" s="11"/>
      <c r="I293" s="11"/>
    </row>
    <row r="294" spans="2:9" x14ac:dyDescent="0.25">
      <c r="B294" s="11" t="s">
        <v>235</v>
      </c>
      <c r="C294" s="11" t="s">
        <v>238</v>
      </c>
      <c r="D294" s="11"/>
      <c r="E294" s="11"/>
      <c r="F294" s="11"/>
      <c r="G294" s="11"/>
      <c r="H294" s="11"/>
      <c r="I294" s="11"/>
    </row>
    <row r="295" spans="2:9" x14ac:dyDescent="0.25">
      <c r="B295" s="11" t="s">
        <v>235</v>
      </c>
      <c r="C295" s="11" t="s">
        <v>239</v>
      </c>
      <c r="D295" s="11"/>
      <c r="E295" s="11"/>
      <c r="F295" s="11"/>
      <c r="G295" s="11"/>
      <c r="H295" s="11"/>
      <c r="I295" s="11"/>
    </row>
    <row r="296" spans="2:9" x14ac:dyDescent="0.25">
      <c r="B296" s="11" t="s">
        <v>235</v>
      </c>
      <c r="C296" s="11" t="s">
        <v>240</v>
      </c>
      <c r="D296" s="11"/>
      <c r="E296" s="11"/>
      <c r="F296" s="11"/>
      <c r="G296" s="11"/>
      <c r="H296" s="11"/>
      <c r="I296" s="11"/>
    </row>
    <row r="297" spans="2:9" x14ac:dyDescent="0.25">
      <c r="B297" s="11" t="s">
        <v>235</v>
      </c>
      <c r="C297" s="11" t="s">
        <v>241</v>
      </c>
      <c r="D297" s="11"/>
      <c r="E297" s="11"/>
      <c r="F297" s="11"/>
      <c r="G297" s="11"/>
      <c r="H297" s="11"/>
      <c r="I297" s="11"/>
    </row>
    <row r="298" spans="2:9" x14ac:dyDescent="0.25">
      <c r="B298" s="11" t="s">
        <v>235</v>
      </c>
      <c r="C298" s="11" t="s">
        <v>236</v>
      </c>
      <c r="D298" s="11"/>
      <c r="E298" s="11"/>
      <c r="F298" s="11"/>
      <c r="G298" s="11"/>
      <c r="H298" s="11"/>
      <c r="I298" s="11"/>
    </row>
    <row r="299" spans="2:9" x14ac:dyDescent="0.25">
      <c r="B299" s="11"/>
      <c r="C299" s="11"/>
      <c r="D299" s="11"/>
      <c r="E299" s="11"/>
      <c r="F299" s="11"/>
      <c r="G299" s="11"/>
      <c r="H299" s="11"/>
      <c r="I299" s="11"/>
    </row>
    <row r="300" spans="2:9" x14ac:dyDescent="0.25">
      <c r="B300" s="9"/>
      <c r="C300" s="9"/>
      <c r="D300" s="9"/>
      <c r="E300" s="9"/>
      <c r="F300" s="9"/>
      <c r="G300" s="9"/>
      <c r="H300" s="9"/>
      <c r="I300" s="9"/>
    </row>
  </sheetData>
  <phoneticPr fontId="1"/>
  <pageMargins left="0.75" right="0.35" top="1" bottom="1" header="0.51200000000000001" footer="0.51200000000000001"/>
  <pageSetup paperSize="9" scale="8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30A1-9049-4E0B-9252-380B4D45FE2E}">
  <dimension ref="A1:F39"/>
  <sheetViews>
    <sheetView topLeftCell="A9" zoomScaleNormal="100" workbookViewId="0">
      <selection activeCell="C7" sqref="C7"/>
    </sheetView>
  </sheetViews>
  <sheetFormatPr defaultRowHeight="15.75" x14ac:dyDescent="0.25"/>
  <cols>
    <col min="1" max="1" width="3.25" style="3" customWidth="1"/>
    <col min="2" max="2" width="16.75" style="4" customWidth="1"/>
    <col min="3" max="3" width="64" style="4" bestFit="1" customWidth="1"/>
    <col min="4" max="4" width="47.875" style="4" bestFit="1" customWidth="1"/>
    <col min="5" max="5" width="21.75" style="4" customWidth="1"/>
    <col min="6" max="6" width="9" style="4"/>
    <col min="7" max="16384" width="9" style="2"/>
  </cols>
  <sheetData>
    <row r="1" spans="1:6" s="3" customFormat="1" ht="19.5" x14ac:dyDescent="0.3">
      <c r="A1" s="1" t="s">
        <v>570</v>
      </c>
      <c r="B1" s="4"/>
      <c r="C1" s="4"/>
      <c r="D1" s="4"/>
      <c r="E1" s="4"/>
      <c r="F1" s="5"/>
    </row>
    <row r="3" spans="1:6" x14ac:dyDescent="0.25">
      <c r="A3" s="3" t="s">
        <v>571</v>
      </c>
    </row>
    <row r="4" spans="1:6" x14ac:dyDescent="0.25">
      <c r="B4" s="4" t="s">
        <v>572</v>
      </c>
    </row>
    <row r="5" spans="1:6" x14ac:dyDescent="0.25">
      <c r="B5" s="4" t="s">
        <v>573</v>
      </c>
    </row>
    <row r="7" spans="1:6" x14ac:dyDescent="0.25">
      <c r="A7" s="3" t="s">
        <v>574</v>
      </c>
    </row>
    <row r="8" spans="1:6" x14ac:dyDescent="0.25">
      <c r="B8" s="4" t="s">
        <v>575</v>
      </c>
    </row>
    <row r="9" spans="1:6" x14ac:dyDescent="0.25">
      <c r="B9" s="4" t="s">
        <v>576</v>
      </c>
    </row>
    <row r="11" spans="1:6" x14ac:dyDescent="0.25">
      <c r="A11" s="3" t="s">
        <v>570</v>
      </c>
    </row>
    <row r="12" spans="1:6" x14ac:dyDescent="0.25">
      <c r="B12" s="6" t="s">
        <v>577</v>
      </c>
      <c r="C12" s="6" t="s">
        <v>15</v>
      </c>
      <c r="D12" s="6" t="s">
        <v>322</v>
      </c>
    </row>
    <row r="13" spans="1:6" x14ac:dyDescent="0.25">
      <c r="B13" s="6" t="s">
        <v>258</v>
      </c>
      <c r="C13" s="6" t="s">
        <v>259</v>
      </c>
      <c r="D13" s="6" t="s">
        <v>578</v>
      </c>
    </row>
    <row r="14" spans="1:6" x14ac:dyDescent="0.25">
      <c r="B14" s="6" t="s">
        <v>260</v>
      </c>
      <c r="C14" s="6" t="s">
        <v>261</v>
      </c>
      <c r="D14" s="6" t="s">
        <v>579</v>
      </c>
    </row>
    <row r="15" spans="1:6" x14ac:dyDescent="0.25">
      <c r="B15" s="6" t="s">
        <v>262</v>
      </c>
      <c r="C15" s="6" t="s">
        <v>263</v>
      </c>
      <c r="D15" s="6" t="s">
        <v>580</v>
      </c>
    </row>
    <row r="16" spans="1:6" x14ac:dyDescent="0.25">
      <c r="B16" s="6" t="s">
        <v>264</v>
      </c>
      <c r="C16" s="6" t="s">
        <v>265</v>
      </c>
      <c r="D16" s="6" t="s">
        <v>581</v>
      </c>
    </row>
    <row r="17" spans="2:4" x14ac:dyDescent="0.25">
      <c r="B17" s="6" t="s">
        <v>266</v>
      </c>
      <c r="C17" s="6" t="s">
        <v>267</v>
      </c>
      <c r="D17" s="6" t="s">
        <v>582</v>
      </c>
    </row>
    <row r="18" spans="2:4" x14ac:dyDescent="0.25">
      <c r="B18" s="6" t="s">
        <v>268</v>
      </c>
      <c r="C18" s="6" t="s">
        <v>269</v>
      </c>
      <c r="D18" s="6" t="s">
        <v>583</v>
      </c>
    </row>
    <row r="19" spans="2:4" x14ac:dyDescent="0.25">
      <c r="B19" s="6" t="s">
        <v>270</v>
      </c>
      <c r="C19" s="6" t="s">
        <v>584</v>
      </c>
      <c r="D19" s="6" t="s">
        <v>585</v>
      </c>
    </row>
    <row r="20" spans="2:4" x14ac:dyDescent="0.25">
      <c r="B20" s="6" t="s">
        <v>271</v>
      </c>
      <c r="C20" s="6" t="s">
        <v>586</v>
      </c>
      <c r="D20" s="6" t="s">
        <v>587</v>
      </c>
    </row>
    <row r="21" spans="2:4" x14ac:dyDescent="0.25">
      <c r="B21" s="6" t="s">
        <v>272</v>
      </c>
      <c r="C21" s="6" t="s">
        <v>273</v>
      </c>
      <c r="D21" s="6" t="s">
        <v>588</v>
      </c>
    </row>
    <row r="22" spans="2:4" x14ac:dyDescent="0.25">
      <c r="B22" s="6" t="s">
        <v>274</v>
      </c>
      <c r="C22" s="6" t="s">
        <v>275</v>
      </c>
      <c r="D22" s="6" t="s">
        <v>589</v>
      </c>
    </row>
    <row r="23" spans="2:4" x14ac:dyDescent="0.25">
      <c r="B23" s="6" t="s">
        <v>276</v>
      </c>
      <c r="C23" s="6" t="s">
        <v>277</v>
      </c>
      <c r="D23" s="6" t="s">
        <v>590</v>
      </c>
    </row>
    <row r="24" spans="2:4" x14ac:dyDescent="0.25">
      <c r="B24" s="6" t="s">
        <v>591</v>
      </c>
      <c r="C24" s="6" t="s">
        <v>278</v>
      </c>
      <c r="D24" s="6" t="s">
        <v>592</v>
      </c>
    </row>
    <row r="25" spans="2:4" x14ac:dyDescent="0.25">
      <c r="B25" s="6" t="s">
        <v>593</v>
      </c>
      <c r="C25" s="6" t="s">
        <v>279</v>
      </c>
      <c r="D25" s="6" t="s">
        <v>594</v>
      </c>
    </row>
    <row r="26" spans="2:4" x14ac:dyDescent="0.25">
      <c r="B26" s="6" t="s">
        <v>595</v>
      </c>
      <c r="C26" s="6" t="s">
        <v>280</v>
      </c>
      <c r="D26" s="6" t="s">
        <v>596</v>
      </c>
    </row>
    <row r="27" spans="2:4" x14ac:dyDescent="0.25">
      <c r="B27" s="6" t="s">
        <v>281</v>
      </c>
      <c r="C27" s="6" t="s">
        <v>282</v>
      </c>
      <c r="D27" s="6" t="s">
        <v>597</v>
      </c>
    </row>
    <row r="28" spans="2:4" x14ac:dyDescent="0.25">
      <c r="B28" s="6" t="s">
        <v>283</v>
      </c>
      <c r="C28" s="6" t="s">
        <v>284</v>
      </c>
      <c r="D28" s="6" t="s">
        <v>598</v>
      </c>
    </row>
    <row r="29" spans="2:4" x14ac:dyDescent="0.25">
      <c r="B29" s="6" t="s">
        <v>285</v>
      </c>
      <c r="C29" s="6" t="s">
        <v>286</v>
      </c>
      <c r="D29" s="6" t="s">
        <v>599</v>
      </c>
    </row>
    <row r="30" spans="2:4" x14ac:dyDescent="0.25">
      <c r="B30" s="6" t="s">
        <v>287</v>
      </c>
      <c r="C30" s="6" t="s">
        <v>288</v>
      </c>
      <c r="D30" s="6" t="s">
        <v>600</v>
      </c>
    </row>
    <row r="31" spans="2:4" x14ac:dyDescent="0.25">
      <c r="B31" s="6" t="s">
        <v>289</v>
      </c>
      <c r="C31" s="6" t="s">
        <v>290</v>
      </c>
      <c r="D31" s="6" t="s">
        <v>601</v>
      </c>
    </row>
    <row r="32" spans="2:4" x14ac:dyDescent="0.25">
      <c r="B32" s="6" t="s">
        <v>291</v>
      </c>
      <c r="C32" s="6" t="s">
        <v>292</v>
      </c>
      <c r="D32" s="6" t="s">
        <v>602</v>
      </c>
    </row>
    <row r="33" spans="2:4" x14ac:dyDescent="0.25">
      <c r="B33" s="6" t="s">
        <v>293</v>
      </c>
      <c r="C33" s="6" t="s">
        <v>603</v>
      </c>
      <c r="D33" s="6" t="s">
        <v>604</v>
      </c>
    </row>
    <row r="34" spans="2:4" x14ac:dyDescent="0.25">
      <c r="B34" s="6" t="s">
        <v>294</v>
      </c>
      <c r="C34" s="6" t="s">
        <v>605</v>
      </c>
      <c r="D34" s="6" t="s">
        <v>606</v>
      </c>
    </row>
    <row r="35" spans="2:4" x14ac:dyDescent="0.25">
      <c r="B35" s="6" t="s">
        <v>295</v>
      </c>
      <c r="C35" s="6" t="s">
        <v>296</v>
      </c>
      <c r="D35" s="6" t="s">
        <v>607</v>
      </c>
    </row>
    <row r="36" spans="2:4" x14ac:dyDescent="0.25">
      <c r="B36" s="6" t="s">
        <v>608</v>
      </c>
      <c r="C36" s="6" t="s">
        <v>609</v>
      </c>
      <c r="D36" s="6" t="s">
        <v>610</v>
      </c>
    </row>
    <row r="37" spans="2:4" x14ac:dyDescent="0.25">
      <c r="B37" s="6" t="s">
        <v>611</v>
      </c>
      <c r="C37" s="6" t="s">
        <v>612</v>
      </c>
      <c r="D37" s="6" t="s">
        <v>613</v>
      </c>
    </row>
    <row r="38" spans="2:4" x14ac:dyDescent="0.25">
      <c r="B38" s="6" t="s">
        <v>614</v>
      </c>
      <c r="C38" s="6" t="s">
        <v>297</v>
      </c>
      <c r="D38" s="6" t="s">
        <v>615</v>
      </c>
    </row>
    <row r="39" spans="2:4" x14ac:dyDescent="0.25">
      <c r="B39" s="6" t="s">
        <v>616</v>
      </c>
      <c r="C39" s="6" t="s">
        <v>298</v>
      </c>
      <c r="D39" s="6" t="s">
        <v>617</v>
      </c>
    </row>
  </sheetData>
  <phoneticPr fontId="1"/>
  <pageMargins left="0.75" right="0.35" top="1" bottom="1" header="0.51200000000000001" footer="0.51200000000000001"/>
  <pageSetup paperSize="9" scale="8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EAA3-CCDC-4CAA-95C4-E0BA078EF817}">
  <sheetPr>
    <pageSetUpPr fitToPage="1"/>
  </sheetPr>
  <dimension ref="A1:K147"/>
  <sheetViews>
    <sheetView topLeftCell="A96" zoomScale="115" zoomScaleNormal="115" workbookViewId="0">
      <selection activeCell="A115" sqref="A115"/>
    </sheetView>
  </sheetViews>
  <sheetFormatPr defaultRowHeight="15.75" x14ac:dyDescent="0.25"/>
  <cols>
    <col min="1" max="1" width="3.125" style="5" customWidth="1"/>
    <col min="2" max="2" width="14.875" style="4" customWidth="1"/>
    <col min="3" max="3" width="12.375" style="4" customWidth="1"/>
    <col min="4" max="4" width="19.375" style="4" customWidth="1"/>
    <col min="5" max="5" width="16.125" style="4" customWidth="1"/>
    <col min="6" max="6" width="23.75" style="4" bestFit="1" customWidth="1"/>
    <col min="7" max="7" width="26.625" style="4" bestFit="1" customWidth="1"/>
    <col min="8" max="8" width="24.625" style="4" customWidth="1"/>
    <col min="9" max="256" width="9" style="4"/>
    <col min="257" max="257" width="3.125" style="4" customWidth="1"/>
    <col min="258" max="512" width="9" style="4"/>
    <col min="513" max="513" width="3.125" style="4" customWidth="1"/>
    <col min="514" max="768" width="9" style="4"/>
    <col min="769" max="769" width="3.125" style="4" customWidth="1"/>
    <col min="770" max="1024" width="9" style="4"/>
    <col min="1025" max="1025" width="3.125" style="4" customWidth="1"/>
    <col min="1026" max="1280" width="9" style="4"/>
    <col min="1281" max="1281" width="3.125" style="4" customWidth="1"/>
    <col min="1282" max="1536" width="9" style="4"/>
    <col min="1537" max="1537" width="3.125" style="4" customWidth="1"/>
    <col min="1538" max="1792" width="9" style="4"/>
    <col min="1793" max="1793" width="3.125" style="4" customWidth="1"/>
    <col min="1794" max="2048" width="9" style="4"/>
    <col min="2049" max="2049" width="3.125" style="4" customWidth="1"/>
    <col min="2050" max="2304" width="9" style="4"/>
    <col min="2305" max="2305" width="3.125" style="4" customWidth="1"/>
    <col min="2306" max="2560" width="9" style="4"/>
    <col min="2561" max="2561" width="3.125" style="4" customWidth="1"/>
    <col min="2562" max="2816" width="9" style="4"/>
    <col min="2817" max="2817" width="3.125" style="4" customWidth="1"/>
    <col min="2818" max="3072" width="9" style="4"/>
    <col min="3073" max="3073" width="3.125" style="4" customWidth="1"/>
    <col min="3074" max="3328" width="9" style="4"/>
    <col min="3329" max="3329" width="3.125" style="4" customWidth="1"/>
    <col min="3330" max="3584" width="9" style="4"/>
    <col min="3585" max="3585" width="3.125" style="4" customWidth="1"/>
    <col min="3586" max="3840" width="9" style="4"/>
    <col min="3841" max="3841" width="3.125" style="4" customWidth="1"/>
    <col min="3842" max="4096" width="9" style="4"/>
    <col min="4097" max="4097" width="3.125" style="4" customWidth="1"/>
    <col min="4098" max="4352" width="9" style="4"/>
    <col min="4353" max="4353" width="3.125" style="4" customWidth="1"/>
    <col min="4354" max="4608" width="9" style="4"/>
    <col min="4609" max="4609" width="3.125" style="4" customWidth="1"/>
    <col min="4610" max="4864" width="9" style="4"/>
    <col min="4865" max="4865" width="3.125" style="4" customWidth="1"/>
    <col min="4866" max="5120" width="9" style="4"/>
    <col min="5121" max="5121" width="3.125" style="4" customWidth="1"/>
    <col min="5122" max="5376" width="9" style="4"/>
    <col min="5377" max="5377" width="3.125" style="4" customWidth="1"/>
    <col min="5378" max="5632" width="9" style="4"/>
    <col min="5633" max="5633" width="3.125" style="4" customWidth="1"/>
    <col min="5634" max="5888" width="9" style="4"/>
    <col min="5889" max="5889" width="3.125" style="4" customWidth="1"/>
    <col min="5890" max="6144" width="9" style="4"/>
    <col min="6145" max="6145" width="3.125" style="4" customWidth="1"/>
    <col min="6146" max="6400" width="9" style="4"/>
    <col min="6401" max="6401" width="3.125" style="4" customWidth="1"/>
    <col min="6402" max="6656" width="9" style="4"/>
    <col min="6657" max="6657" width="3.125" style="4" customWidth="1"/>
    <col min="6658" max="6912" width="9" style="4"/>
    <col min="6913" max="6913" width="3.125" style="4" customWidth="1"/>
    <col min="6914" max="7168" width="9" style="4"/>
    <col min="7169" max="7169" width="3.125" style="4" customWidth="1"/>
    <col min="7170" max="7424" width="9" style="4"/>
    <col min="7425" max="7425" width="3.125" style="4" customWidth="1"/>
    <col min="7426" max="7680" width="9" style="4"/>
    <col min="7681" max="7681" width="3.125" style="4" customWidth="1"/>
    <col min="7682" max="7936" width="9" style="4"/>
    <col min="7937" max="7937" width="3.125" style="4" customWidth="1"/>
    <col min="7938" max="8192" width="9" style="4"/>
    <col min="8193" max="8193" width="3.125" style="4" customWidth="1"/>
    <col min="8194" max="8448" width="9" style="4"/>
    <col min="8449" max="8449" width="3.125" style="4" customWidth="1"/>
    <col min="8450" max="8704" width="9" style="4"/>
    <col min="8705" max="8705" width="3.125" style="4" customWidth="1"/>
    <col min="8706" max="8960" width="9" style="4"/>
    <col min="8961" max="8961" width="3.125" style="4" customWidth="1"/>
    <col min="8962" max="9216" width="9" style="4"/>
    <col min="9217" max="9217" width="3.125" style="4" customWidth="1"/>
    <col min="9218" max="9472" width="9" style="4"/>
    <col min="9473" max="9473" width="3.125" style="4" customWidth="1"/>
    <col min="9474" max="9728" width="9" style="4"/>
    <col min="9729" max="9729" width="3.125" style="4" customWidth="1"/>
    <col min="9730" max="9984" width="9" style="4"/>
    <col min="9985" max="9985" width="3.125" style="4" customWidth="1"/>
    <col min="9986" max="10240" width="9" style="4"/>
    <col min="10241" max="10241" width="3.125" style="4" customWidth="1"/>
    <col min="10242" max="10496" width="9" style="4"/>
    <col min="10497" max="10497" width="3.125" style="4" customWidth="1"/>
    <col min="10498" max="10752" width="9" style="4"/>
    <col min="10753" max="10753" width="3.125" style="4" customWidth="1"/>
    <col min="10754" max="11008" width="9" style="4"/>
    <col min="11009" max="11009" width="3.125" style="4" customWidth="1"/>
    <col min="11010" max="11264" width="9" style="4"/>
    <col min="11265" max="11265" width="3.125" style="4" customWidth="1"/>
    <col min="11266" max="11520" width="9" style="4"/>
    <col min="11521" max="11521" width="3.125" style="4" customWidth="1"/>
    <col min="11522" max="11776" width="9" style="4"/>
    <col min="11777" max="11777" width="3.125" style="4" customWidth="1"/>
    <col min="11778" max="12032" width="9" style="4"/>
    <col min="12033" max="12033" width="3.125" style="4" customWidth="1"/>
    <col min="12034" max="12288" width="9" style="4"/>
    <col min="12289" max="12289" width="3.125" style="4" customWidth="1"/>
    <col min="12290" max="12544" width="9" style="4"/>
    <col min="12545" max="12545" width="3.125" style="4" customWidth="1"/>
    <col min="12546" max="12800" width="9" style="4"/>
    <col min="12801" max="12801" width="3.125" style="4" customWidth="1"/>
    <col min="12802" max="13056" width="9" style="4"/>
    <col min="13057" max="13057" width="3.125" style="4" customWidth="1"/>
    <col min="13058" max="13312" width="9" style="4"/>
    <col min="13313" max="13313" width="3.125" style="4" customWidth="1"/>
    <col min="13314" max="13568" width="9" style="4"/>
    <col min="13569" max="13569" width="3.125" style="4" customWidth="1"/>
    <col min="13570" max="13824" width="9" style="4"/>
    <col min="13825" max="13825" width="3.125" style="4" customWidth="1"/>
    <col min="13826" max="14080" width="9" style="4"/>
    <col min="14081" max="14081" width="3.125" style="4" customWidth="1"/>
    <col min="14082" max="14336" width="9" style="4"/>
    <col min="14337" max="14337" width="3.125" style="4" customWidth="1"/>
    <col min="14338" max="14592" width="9" style="4"/>
    <col min="14593" max="14593" width="3.125" style="4" customWidth="1"/>
    <col min="14594" max="14848" width="9" style="4"/>
    <col min="14849" max="14849" width="3.125" style="4" customWidth="1"/>
    <col min="14850" max="15104" width="9" style="4"/>
    <col min="15105" max="15105" width="3.125" style="4" customWidth="1"/>
    <col min="15106" max="15360" width="9" style="4"/>
    <col min="15361" max="15361" width="3.125" style="4" customWidth="1"/>
    <col min="15362" max="15616" width="9" style="4"/>
    <col min="15617" max="15617" width="3.125" style="4" customWidth="1"/>
    <col min="15618" max="15872" width="9" style="4"/>
    <col min="15873" max="15873" width="3.125" style="4" customWidth="1"/>
    <col min="15874" max="16128" width="9" style="4"/>
    <col min="16129" max="16129" width="3.125" style="4" customWidth="1"/>
    <col min="16130" max="16384" width="9" style="4"/>
  </cols>
  <sheetData>
    <row r="1" spans="1:11" ht="19.5" x14ac:dyDescent="0.3">
      <c r="A1" s="28" t="s">
        <v>817</v>
      </c>
    </row>
    <row r="3" spans="1:11" x14ac:dyDescent="0.25">
      <c r="A3" s="5" t="s">
        <v>818</v>
      </c>
    </row>
    <row r="4" spans="1:11" x14ac:dyDescent="0.25">
      <c r="B4" s="4" t="s">
        <v>819</v>
      </c>
    </row>
    <row r="5" spans="1:11" x14ac:dyDescent="0.25">
      <c r="B5" s="4" t="s">
        <v>820</v>
      </c>
    </row>
    <row r="7" spans="1:11" x14ac:dyDescent="0.25">
      <c r="B7" s="4" t="s">
        <v>821</v>
      </c>
    </row>
    <row r="8" spans="1:11" x14ac:dyDescent="0.25">
      <c r="B8" s="8" t="s">
        <v>235</v>
      </c>
      <c r="C8" s="8" t="s">
        <v>618</v>
      </c>
      <c r="D8" s="8"/>
      <c r="E8" s="8"/>
      <c r="F8" s="8"/>
      <c r="G8" s="8"/>
      <c r="H8" s="8"/>
      <c r="I8" s="20"/>
      <c r="J8" s="20"/>
      <c r="K8" s="20"/>
    </row>
    <row r="9" spans="1:11" x14ac:dyDescent="0.25">
      <c r="B9" s="8" t="s">
        <v>235</v>
      </c>
      <c r="C9" s="8"/>
      <c r="D9" s="8"/>
      <c r="E9" s="8"/>
      <c r="F9" s="8"/>
      <c r="G9" s="8"/>
      <c r="H9" s="8"/>
      <c r="I9" s="20"/>
      <c r="J9" s="20"/>
      <c r="K9" s="20"/>
    </row>
    <row r="10" spans="1:11" x14ac:dyDescent="0.25">
      <c r="B10" s="8" t="s">
        <v>235</v>
      </c>
      <c r="C10" s="8" t="s">
        <v>619</v>
      </c>
      <c r="D10" s="8"/>
      <c r="E10" s="8"/>
      <c r="F10" s="8"/>
      <c r="G10" s="8"/>
      <c r="H10" s="8"/>
      <c r="I10" s="20"/>
      <c r="J10" s="20"/>
      <c r="K10" s="20"/>
    </row>
    <row r="11" spans="1:11" x14ac:dyDescent="0.25">
      <c r="B11" s="8" t="s">
        <v>235</v>
      </c>
      <c r="C11" s="8" t="s">
        <v>620</v>
      </c>
      <c r="D11" s="8"/>
      <c r="E11" s="8"/>
      <c r="F11" s="8"/>
      <c r="G11" s="8"/>
      <c r="H11" s="8"/>
      <c r="I11" s="20"/>
      <c r="J11" s="20"/>
      <c r="K11" s="20"/>
    </row>
    <row r="12" spans="1:11" x14ac:dyDescent="0.25">
      <c r="B12" s="8" t="s">
        <v>235</v>
      </c>
      <c r="C12" s="8" t="s">
        <v>621</v>
      </c>
      <c r="D12" s="8"/>
      <c r="E12" s="8"/>
      <c r="F12" s="8"/>
      <c r="G12" s="8"/>
      <c r="H12" s="8"/>
      <c r="I12" s="20"/>
      <c r="J12" s="20"/>
      <c r="K12" s="20"/>
    </row>
    <row r="13" spans="1:11" x14ac:dyDescent="0.25">
      <c r="B13" s="8" t="s">
        <v>235</v>
      </c>
      <c r="C13" s="8"/>
      <c r="D13" s="8"/>
      <c r="E13" s="8"/>
      <c r="F13" s="8"/>
      <c r="G13" s="8"/>
      <c r="H13" s="8"/>
      <c r="I13" s="20"/>
      <c r="J13" s="20"/>
      <c r="K13" s="20"/>
    </row>
    <row r="14" spans="1:11" x14ac:dyDescent="0.25">
      <c r="B14" s="8" t="s">
        <v>235</v>
      </c>
      <c r="C14" s="8" t="s">
        <v>618</v>
      </c>
      <c r="D14" s="8"/>
      <c r="E14" s="8"/>
      <c r="F14" s="8"/>
      <c r="G14" s="8"/>
      <c r="H14" s="8"/>
      <c r="I14" s="20"/>
      <c r="J14" s="20"/>
      <c r="K14" s="20"/>
    </row>
    <row r="17" spans="1:5" x14ac:dyDescent="0.25">
      <c r="A17" s="5" t="s">
        <v>822</v>
      </c>
    </row>
    <row r="18" spans="1:5" x14ac:dyDescent="0.25">
      <c r="B18" s="4" t="s">
        <v>819</v>
      </c>
    </row>
    <row r="19" spans="1:5" x14ac:dyDescent="0.25">
      <c r="B19" s="4" t="s">
        <v>823</v>
      </c>
    </row>
    <row r="20" spans="1:5" x14ac:dyDescent="0.25">
      <c r="B20" s="4" t="s">
        <v>824</v>
      </c>
    </row>
    <row r="21" spans="1:5" ht="16.5" x14ac:dyDescent="0.25">
      <c r="A21" s="29"/>
      <c r="B21" s="4" t="s">
        <v>825</v>
      </c>
    </row>
    <row r="23" spans="1:5" x14ac:dyDescent="0.25">
      <c r="B23" s="4" t="s">
        <v>821</v>
      </c>
    </row>
    <row r="24" spans="1:5" x14ac:dyDescent="0.25">
      <c r="B24" s="6" t="s">
        <v>65</v>
      </c>
      <c r="C24" s="6" t="s">
        <v>622</v>
      </c>
      <c r="D24" s="6"/>
      <c r="E24" s="6"/>
    </row>
    <row r="25" spans="1:5" s="20" customFormat="1" x14ac:dyDescent="0.25">
      <c r="A25" s="30"/>
      <c r="B25" s="31" t="s">
        <v>19</v>
      </c>
      <c r="C25" s="31" t="s">
        <v>623</v>
      </c>
      <c r="D25" s="31" t="s">
        <v>623</v>
      </c>
      <c r="E25" s="31" t="s">
        <v>623</v>
      </c>
    </row>
    <row r="26" spans="1:5" s="20" customFormat="1" x14ac:dyDescent="0.25">
      <c r="A26" s="30"/>
      <c r="B26" s="6" t="s">
        <v>624</v>
      </c>
      <c r="C26" s="14" t="s">
        <v>625</v>
      </c>
      <c r="D26" s="14" t="s">
        <v>626</v>
      </c>
      <c r="E26" s="6"/>
    </row>
    <row r="27" spans="1:5" s="20" customFormat="1" x14ac:dyDescent="0.25">
      <c r="A27" s="30"/>
      <c r="B27" s="6" t="s">
        <v>627</v>
      </c>
      <c r="C27" s="14" t="s">
        <v>628</v>
      </c>
      <c r="D27" s="14" t="s">
        <v>629</v>
      </c>
      <c r="E27" s="14" t="s">
        <v>630</v>
      </c>
    </row>
    <row r="28" spans="1:5" s="20" customFormat="1" x14ac:dyDescent="0.25">
      <c r="A28" s="30"/>
      <c r="B28" s="6" t="s">
        <v>627</v>
      </c>
      <c r="C28" s="14" t="s">
        <v>631</v>
      </c>
      <c r="D28" s="14" t="s">
        <v>632</v>
      </c>
      <c r="E28" s="6"/>
    </row>
    <row r="29" spans="1:5" s="20" customFormat="1" x14ac:dyDescent="0.25">
      <c r="A29" s="30"/>
      <c r="B29" s="6" t="s">
        <v>633</v>
      </c>
      <c r="C29" s="14" t="s">
        <v>634</v>
      </c>
      <c r="D29" s="6"/>
      <c r="E29" s="6"/>
    </row>
    <row r="30" spans="1:5" s="20" customFormat="1" x14ac:dyDescent="0.25">
      <c r="A30" s="30"/>
      <c r="B30" s="6" t="s">
        <v>633</v>
      </c>
      <c r="C30" s="14" t="s">
        <v>635</v>
      </c>
      <c r="D30" s="14" t="s">
        <v>636</v>
      </c>
      <c r="E30" s="6"/>
    </row>
    <row r="31" spans="1:5" s="20" customFormat="1" x14ac:dyDescent="0.25">
      <c r="A31" s="30"/>
    </row>
    <row r="33" spans="1:7" ht="16.5" x14ac:dyDescent="0.25">
      <c r="A33" s="29" t="s">
        <v>826</v>
      </c>
      <c r="D33" s="32"/>
    </row>
    <row r="34" spans="1:7" x14ac:dyDescent="0.25">
      <c r="B34" s="4" t="s">
        <v>821</v>
      </c>
    </row>
    <row r="35" spans="1:7" x14ac:dyDescent="0.25">
      <c r="B35" s="31" t="s">
        <v>19</v>
      </c>
      <c r="C35" s="31" t="s">
        <v>828</v>
      </c>
      <c r="D35" s="31" t="s">
        <v>829</v>
      </c>
    </row>
    <row r="36" spans="1:7" x14ac:dyDescent="0.25">
      <c r="B36" s="6" t="s">
        <v>637</v>
      </c>
      <c r="C36" s="6" t="s">
        <v>638</v>
      </c>
      <c r="D36" s="6" t="s">
        <v>639</v>
      </c>
    </row>
    <row r="39" spans="1:7" x14ac:dyDescent="0.25">
      <c r="A39" s="5" t="s">
        <v>841</v>
      </c>
    </row>
    <row r="40" spans="1:7" x14ac:dyDescent="0.25">
      <c r="B40" s="4" t="s">
        <v>827</v>
      </c>
    </row>
    <row r="41" spans="1:7" x14ac:dyDescent="0.25">
      <c r="B41" s="31" t="s">
        <v>19</v>
      </c>
      <c r="C41" s="31" t="s">
        <v>842</v>
      </c>
      <c r="D41" s="31" t="s">
        <v>852</v>
      </c>
      <c r="E41" s="31" t="s">
        <v>832</v>
      </c>
      <c r="F41" s="31" t="s">
        <v>832</v>
      </c>
      <c r="G41" s="31" t="s">
        <v>832</v>
      </c>
    </row>
    <row r="42" spans="1:7" x14ac:dyDescent="0.25">
      <c r="B42" s="6" t="s">
        <v>224</v>
      </c>
      <c r="C42" s="6" t="s">
        <v>625</v>
      </c>
      <c r="D42" s="6">
        <v>8</v>
      </c>
      <c r="E42" s="6"/>
      <c r="F42" s="6"/>
      <c r="G42" s="6"/>
    </row>
    <row r="43" spans="1:7" x14ac:dyDescent="0.25">
      <c r="B43" s="6" t="s">
        <v>224</v>
      </c>
      <c r="C43" s="6" t="s">
        <v>626</v>
      </c>
      <c r="D43" s="6">
        <v>8</v>
      </c>
      <c r="E43" s="6"/>
      <c r="F43" s="6"/>
      <c r="G43" s="6"/>
    </row>
    <row r="44" spans="1:7" x14ac:dyDescent="0.25">
      <c r="B44" s="6" t="s">
        <v>224</v>
      </c>
      <c r="C44" s="6" t="s">
        <v>628</v>
      </c>
      <c r="D44" s="6">
        <v>32</v>
      </c>
      <c r="E44" s="6"/>
      <c r="F44" s="6"/>
      <c r="G44" s="6"/>
    </row>
    <row r="45" spans="1:7" x14ac:dyDescent="0.25">
      <c r="B45" s="6" t="s">
        <v>224</v>
      </c>
      <c r="C45" s="6" t="s">
        <v>640</v>
      </c>
      <c r="D45" s="6">
        <v>8</v>
      </c>
      <c r="E45" s="6"/>
      <c r="F45" s="6"/>
      <c r="G45" s="6"/>
    </row>
    <row r="46" spans="1:7" x14ac:dyDescent="0.25">
      <c r="B46" s="6" t="s">
        <v>224</v>
      </c>
      <c r="C46" s="6" t="s">
        <v>641</v>
      </c>
      <c r="D46" s="6">
        <v>1</v>
      </c>
      <c r="E46" s="6"/>
      <c r="F46" s="6"/>
      <c r="G46" s="6"/>
    </row>
    <row r="47" spans="1:7" x14ac:dyDescent="0.25">
      <c r="B47" s="6" t="s">
        <v>224</v>
      </c>
      <c r="C47" s="6" t="s">
        <v>642</v>
      </c>
      <c r="D47" s="6">
        <v>2</v>
      </c>
      <c r="E47" s="6"/>
      <c r="F47" s="6"/>
      <c r="G47" s="6"/>
    </row>
    <row r="48" spans="1:7" x14ac:dyDescent="0.25">
      <c r="B48" s="6" t="s">
        <v>224</v>
      </c>
      <c r="C48" s="6" t="s">
        <v>643</v>
      </c>
      <c r="D48" s="6">
        <v>1</v>
      </c>
      <c r="E48" s="6"/>
      <c r="F48" s="6"/>
      <c r="G48" s="6"/>
    </row>
    <row r="49" spans="2:8" x14ac:dyDescent="0.25">
      <c r="B49" s="6" t="s">
        <v>224</v>
      </c>
      <c r="C49" s="6" t="s">
        <v>644</v>
      </c>
      <c r="D49" s="6">
        <v>1</v>
      </c>
      <c r="E49" s="6"/>
      <c r="F49" s="6"/>
      <c r="G49" s="6"/>
    </row>
    <row r="50" spans="2:8" x14ac:dyDescent="0.25">
      <c r="B50" s="6" t="s">
        <v>224</v>
      </c>
      <c r="C50" s="6" t="s">
        <v>645</v>
      </c>
      <c r="D50" s="6">
        <v>24</v>
      </c>
      <c r="E50" s="6"/>
      <c r="F50" s="6"/>
      <c r="G50" s="6"/>
    </row>
    <row r="51" spans="2:8" x14ac:dyDescent="0.25">
      <c r="B51" s="6" t="s">
        <v>224</v>
      </c>
      <c r="C51" s="6" t="s">
        <v>646</v>
      </c>
      <c r="D51" s="6">
        <v>32</v>
      </c>
      <c r="E51" s="6" t="s">
        <v>647</v>
      </c>
      <c r="F51" s="6"/>
      <c r="G51" s="6"/>
    </row>
    <row r="52" spans="2:8" x14ac:dyDescent="0.25">
      <c r="B52" s="6" t="s">
        <v>224</v>
      </c>
      <c r="C52" s="6" t="s">
        <v>648</v>
      </c>
      <c r="D52" s="6">
        <v>1</v>
      </c>
      <c r="E52" s="6" t="s">
        <v>649</v>
      </c>
      <c r="F52" s="6" t="s">
        <v>650</v>
      </c>
      <c r="G52" s="6" t="s">
        <v>651</v>
      </c>
    </row>
    <row r="54" spans="2:8" x14ac:dyDescent="0.25">
      <c r="B54" s="4" t="s">
        <v>819</v>
      </c>
    </row>
    <row r="55" spans="2:8" x14ac:dyDescent="0.25">
      <c r="B55" s="4" t="s">
        <v>836</v>
      </c>
    </row>
    <row r="56" spans="2:8" x14ac:dyDescent="0.25">
      <c r="B56" s="4" t="s">
        <v>837</v>
      </c>
    </row>
    <row r="59" spans="2:8" x14ac:dyDescent="0.25">
      <c r="B59" s="4" t="s">
        <v>830</v>
      </c>
    </row>
    <row r="60" spans="2:8" x14ac:dyDescent="0.25">
      <c r="B60" s="31" t="s">
        <v>19</v>
      </c>
      <c r="C60" s="31" t="s">
        <v>842</v>
      </c>
      <c r="D60" s="31" t="s">
        <v>852</v>
      </c>
      <c r="E60" s="31" t="s">
        <v>839</v>
      </c>
      <c r="F60" s="31" t="s">
        <v>840</v>
      </c>
      <c r="G60" s="31" t="s">
        <v>840</v>
      </c>
      <c r="H60" s="31" t="s">
        <v>840</v>
      </c>
    </row>
    <row r="61" spans="2:8" x14ac:dyDescent="0.25">
      <c r="B61" s="6" t="s">
        <v>652</v>
      </c>
      <c r="C61" s="6" t="s">
        <v>644</v>
      </c>
      <c r="D61" s="6">
        <v>24</v>
      </c>
      <c r="E61" s="6" t="s">
        <v>653</v>
      </c>
      <c r="F61" s="6" t="s">
        <v>654</v>
      </c>
      <c r="G61" s="6" t="s">
        <v>655</v>
      </c>
      <c r="H61" s="6" t="s">
        <v>656</v>
      </c>
    </row>
    <row r="63" spans="2:8" x14ac:dyDescent="0.25">
      <c r="B63" s="4" t="s">
        <v>819</v>
      </c>
    </row>
    <row r="64" spans="2:8" x14ac:dyDescent="0.25">
      <c r="B64" s="4" t="s">
        <v>833</v>
      </c>
    </row>
    <row r="65" spans="1:9" x14ac:dyDescent="0.25">
      <c r="B65" s="4" t="s">
        <v>834</v>
      </c>
    </row>
    <row r="66" spans="1:9" x14ac:dyDescent="0.25">
      <c r="B66" s="4" t="s">
        <v>835</v>
      </c>
    </row>
    <row r="67" spans="1:9" x14ac:dyDescent="0.25">
      <c r="B67" s="26" t="s">
        <v>816</v>
      </c>
      <c r="I67" s="26"/>
    </row>
    <row r="68" spans="1:9" x14ac:dyDescent="0.25">
      <c r="I68" s="26"/>
    </row>
    <row r="70" spans="1:9" x14ac:dyDescent="0.25">
      <c r="A70" s="5" t="s">
        <v>838</v>
      </c>
    </row>
    <row r="71" spans="1:9" x14ac:dyDescent="0.25">
      <c r="B71" s="4" t="s">
        <v>821</v>
      </c>
    </row>
    <row r="72" spans="1:9" x14ac:dyDescent="0.25">
      <c r="B72" s="31" t="s">
        <v>19</v>
      </c>
      <c r="C72" s="31" t="s">
        <v>843</v>
      </c>
      <c r="D72" s="31" t="s">
        <v>852</v>
      </c>
      <c r="E72" s="31" t="s">
        <v>57</v>
      </c>
      <c r="F72" s="31" t="s">
        <v>839</v>
      </c>
      <c r="G72" s="31" t="s">
        <v>840</v>
      </c>
      <c r="H72" s="31" t="s">
        <v>840</v>
      </c>
    </row>
    <row r="73" spans="1:9" s="20" customFormat="1" x14ac:dyDescent="0.25">
      <c r="A73" s="30"/>
      <c r="B73" s="8" t="s">
        <v>50</v>
      </c>
      <c r="C73" s="8" t="s">
        <v>634</v>
      </c>
      <c r="D73" s="8" t="s">
        <v>52</v>
      </c>
      <c r="E73" s="8" t="s">
        <v>657</v>
      </c>
      <c r="F73" s="8" t="s">
        <v>658</v>
      </c>
      <c r="G73" s="8"/>
      <c r="H73" s="8"/>
      <c r="I73" s="4"/>
    </row>
    <row r="74" spans="1:9" s="20" customFormat="1" x14ac:dyDescent="0.25">
      <c r="A74" s="30"/>
      <c r="B74" s="8" t="s">
        <v>50</v>
      </c>
      <c r="C74" s="8" t="s">
        <v>635</v>
      </c>
      <c r="D74" s="8" t="s">
        <v>659</v>
      </c>
      <c r="E74" s="8" t="s">
        <v>657</v>
      </c>
      <c r="F74" s="8" t="s">
        <v>658</v>
      </c>
      <c r="G74" s="8"/>
      <c r="H74" s="8"/>
      <c r="I74" s="4"/>
    </row>
    <row r="75" spans="1:9" s="20" customFormat="1" x14ac:dyDescent="0.25">
      <c r="A75" s="30"/>
      <c r="B75" s="8" t="s">
        <v>50</v>
      </c>
      <c r="C75" s="8" t="s">
        <v>636</v>
      </c>
      <c r="D75" s="8">
        <v>1</v>
      </c>
      <c r="E75" s="8" t="s">
        <v>657</v>
      </c>
      <c r="F75" s="8" t="s">
        <v>658</v>
      </c>
      <c r="G75" s="8"/>
      <c r="H75" s="8"/>
      <c r="I75" s="4"/>
    </row>
    <row r="76" spans="1:9" s="20" customFormat="1" x14ac:dyDescent="0.25">
      <c r="A76" s="30"/>
      <c r="B76" s="8" t="s">
        <v>50</v>
      </c>
      <c r="C76" s="8" t="s">
        <v>660</v>
      </c>
      <c r="D76" s="8">
        <v>1</v>
      </c>
      <c r="E76" s="8" t="s">
        <v>657</v>
      </c>
      <c r="F76" s="8" t="s">
        <v>658</v>
      </c>
      <c r="G76" s="8" t="s">
        <v>661</v>
      </c>
      <c r="H76" s="8" t="s">
        <v>662</v>
      </c>
      <c r="I76" s="4"/>
    </row>
    <row r="77" spans="1:9" s="20" customFormat="1" x14ac:dyDescent="0.25">
      <c r="A77" s="30"/>
      <c r="B77" s="8" t="s">
        <v>50</v>
      </c>
      <c r="C77" s="8" t="s">
        <v>663</v>
      </c>
      <c r="D77" s="8" t="s">
        <v>39</v>
      </c>
      <c r="E77" s="8" t="s">
        <v>664</v>
      </c>
      <c r="F77" s="8" t="s">
        <v>658</v>
      </c>
      <c r="G77" s="8"/>
      <c r="H77" s="8" t="s">
        <v>665</v>
      </c>
    </row>
    <row r="78" spans="1:9" s="20" customFormat="1" x14ac:dyDescent="0.25">
      <c r="A78" s="30"/>
      <c r="B78" s="8" t="s">
        <v>50</v>
      </c>
      <c r="C78" s="8" t="s">
        <v>666</v>
      </c>
      <c r="D78" s="8" t="s">
        <v>39</v>
      </c>
      <c r="E78" s="8" t="s">
        <v>664</v>
      </c>
      <c r="F78" s="8" t="s">
        <v>658</v>
      </c>
      <c r="G78" s="8" t="s">
        <v>667</v>
      </c>
      <c r="H78" s="8" t="s">
        <v>665</v>
      </c>
    </row>
    <row r="79" spans="1:9" s="20" customFormat="1" x14ac:dyDescent="0.25">
      <c r="A79" s="30"/>
      <c r="B79" s="8" t="s">
        <v>50</v>
      </c>
      <c r="C79" s="8" t="s">
        <v>668</v>
      </c>
      <c r="D79" s="8">
        <v>1</v>
      </c>
      <c r="E79" s="8" t="s">
        <v>669</v>
      </c>
      <c r="F79" s="8" t="s">
        <v>658</v>
      </c>
      <c r="G79" s="8"/>
      <c r="H79" s="8" t="s">
        <v>670</v>
      </c>
    </row>
    <row r="81" spans="1:9" x14ac:dyDescent="0.25">
      <c r="B81" s="4" t="s">
        <v>819</v>
      </c>
      <c r="F81" s="20"/>
    </row>
    <row r="82" spans="1:9" x14ac:dyDescent="0.25">
      <c r="B82" s="4" t="s">
        <v>844</v>
      </c>
    </row>
    <row r="83" spans="1:9" x14ac:dyDescent="0.25">
      <c r="B83" s="4" t="s">
        <v>845</v>
      </c>
    </row>
    <row r="84" spans="1:9" x14ac:dyDescent="0.25">
      <c r="B84" s="4" t="s">
        <v>846</v>
      </c>
    </row>
    <row r="85" spans="1:9" x14ac:dyDescent="0.25">
      <c r="B85" s="4" t="s">
        <v>847</v>
      </c>
    </row>
    <row r="86" spans="1:9" x14ac:dyDescent="0.25">
      <c r="B86" s="4" t="s">
        <v>848</v>
      </c>
    </row>
    <row r="87" spans="1:9" x14ac:dyDescent="0.25">
      <c r="B87" s="4" t="s">
        <v>849</v>
      </c>
    </row>
    <row r="88" spans="1:9" x14ac:dyDescent="0.25">
      <c r="B88" s="4" t="s">
        <v>850</v>
      </c>
      <c r="E88" s="26"/>
    </row>
    <row r="89" spans="1:9" x14ac:dyDescent="0.25">
      <c r="B89" s="4" t="s">
        <v>853</v>
      </c>
      <c r="D89" s="26"/>
    </row>
    <row r="91" spans="1:9" x14ac:dyDescent="0.25">
      <c r="A91" s="5" t="s">
        <v>854</v>
      </c>
    </row>
    <row r="92" spans="1:9" x14ac:dyDescent="0.25">
      <c r="B92" s="4" t="s">
        <v>821</v>
      </c>
    </row>
    <row r="93" spans="1:9" ht="16.5" thickBot="1" x14ac:dyDescent="0.3">
      <c r="B93" s="31" t="s">
        <v>19</v>
      </c>
      <c r="C93" s="31" t="s">
        <v>843</v>
      </c>
      <c r="D93" s="31" t="s">
        <v>852</v>
      </c>
      <c r="E93" s="31" t="s">
        <v>57</v>
      </c>
      <c r="F93" s="31" t="s">
        <v>839</v>
      </c>
      <c r="G93" s="31" t="s">
        <v>856</v>
      </c>
      <c r="H93" s="31" t="s">
        <v>855</v>
      </c>
    </row>
    <row r="94" spans="1:9" ht="16.5" thickBot="1" x14ac:dyDescent="0.3">
      <c r="B94" s="6" t="s">
        <v>671</v>
      </c>
      <c r="C94" s="6" t="s">
        <v>44</v>
      </c>
      <c r="D94" s="6">
        <v>32</v>
      </c>
      <c r="E94" s="6" t="s">
        <v>31</v>
      </c>
      <c r="F94" s="8" t="s">
        <v>672</v>
      </c>
      <c r="G94" s="6" t="s">
        <v>673</v>
      </c>
      <c r="H94" s="8" t="s">
        <v>674</v>
      </c>
      <c r="I94" s="27"/>
    </row>
    <row r="96" spans="1:9" x14ac:dyDescent="0.25">
      <c r="B96" s="4" t="s">
        <v>819</v>
      </c>
    </row>
    <row r="97" spans="1:8" x14ac:dyDescent="0.25">
      <c r="B97" s="4" t="s">
        <v>857</v>
      </c>
    </row>
    <row r="98" spans="1:8" ht="16.5" x14ac:dyDescent="0.25">
      <c r="B98" s="35" t="s">
        <v>858</v>
      </c>
    </row>
    <row r="99" spans="1:8" x14ac:dyDescent="0.25">
      <c r="B99" s="4" t="s">
        <v>861</v>
      </c>
    </row>
    <row r="100" spans="1:8" x14ac:dyDescent="0.25">
      <c r="B100" s="4" t="s">
        <v>859</v>
      </c>
    </row>
    <row r="101" spans="1:8" x14ac:dyDescent="0.25">
      <c r="B101" s="4" t="s">
        <v>860</v>
      </c>
    </row>
    <row r="103" spans="1:8" x14ac:dyDescent="0.25">
      <c r="B103" s="4" t="s">
        <v>863</v>
      </c>
      <c r="H103" s="26"/>
    </row>
    <row r="104" spans="1:8" x14ac:dyDescent="0.25">
      <c r="B104" s="4" t="s">
        <v>675</v>
      </c>
      <c r="H104" s="26"/>
    </row>
    <row r="105" spans="1:8" x14ac:dyDescent="0.25">
      <c r="G105" s="26"/>
    </row>
    <row r="106" spans="1:8" x14ac:dyDescent="0.25">
      <c r="F106" s="26"/>
    </row>
    <row r="107" spans="1:8" x14ac:dyDescent="0.25">
      <c r="A107" s="5" t="s">
        <v>862</v>
      </c>
      <c r="F107" s="26"/>
    </row>
    <row r="108" spans="1:8" x14ac:dyDescent="0.25">
      <c r="B108" s="4" t="s">
        <v>821</v>
      </c>
    </row>
    <row r="109" spans="1:8" x14ac:dyDescent="0.25">
      <c r="B109" s="6" t="s">
        <v>224</v>
      </c>
      <c r="C109" s="6" t="s">
        <v>676</v>
      </c>
      <c r="D109" s="6">
        <v>32</v>
      </c>
      <c r="E109" s="26"/>
    </row>
    <row r="110" spans="1:8" x14ac:dyDescent="0.25">
      <c r="B110" s="6" t="s">
        <v>677</v>
      </c>
      <c r="C110" s="6" t="s">
        <v>676</v>
      </c>
      <c r="D110" s="6" t="s">
        <v>678</v>
      </c>
    </row>
    <row r="112" spans="1:8" x14ac:dyDescent="0.25">
      <c r="B112" s="4" t="s">
        <v>863</v>
      </c>
    </row>
    <row r="113" spans="1:5" x14ac:dyDescent="0.25">
      <c r="B113" s="4" t="s">
        <v>679</v>
      </c>
    </row>
    <row r="115" spans="1:5" x14ac:dyDescent="0.25">
      <c r="A115" s="5" t="s">
        <v>873</v>
      </c>
    </row>
    <row r="116" spans="1:5" x14ac:dyDescent="0.25">
      <c r="B116" s="4" t="s">
        <v>885</v>
      </c>
    </row>
    <row r="117" spans="1:5" x14ac:dyDescent="0.25">
      <c r="B117" s="4" t="s">
        <v>874</v>
      </c>
    </row>
    <row r="118" spans="1:5" x14ac:dyDescent="0.25">
      <c r="B118" s="4" t="s">
        <v>875</v>
      </c>
    </row>
    <row r="120" spans="1:5" x14ac:dyDescent="0.25">
      <c r="B120" s="4" t="s">
        <v>886</v>
      </c>
    </row>
    <row r="121" spans="1:5" x14ac:dyDescent="0.25">
      <c r="B121" s="4" t="s">
        <v>876</v>
      </c>
    </row>
    <row r="122" spans="1:5" x14ac:dyDescent="0.25">
      <c r="B122" s="4" t="s">
        <v>877</v>
      </c>
    </row>
    <row r="124" spans="1:5" ht="16.5" x14ac:dyDescent="0.25">
      <c r="B124" s="35" t="s">
        <v>887</v>
      </c>
    </row>
    <row r="125" spans="1:5" ht="16.5" thickBot="1" x14ac:dyDescent="0.3">
      <c r="B125" s="4" t="s">
        <v>878</v>
      </c>
    </row>
    <row r="126" spans="1:5" x14ac:dyDescent="0.25">
      <c r="B126" s="4" t="s">
        <v>879</v>
      </c>
      <c r="E126" s="33"/>
    </row>
    <row r="127" spans="1:5" ht="16.5" thickBot="1" x14ac:dyDescent="0.3">
      <c r="E127" s="34"/>
    </row>
    <row r="128" spans="1:5" x14ac:dyDescent="0.25">
      <c r="B128" s="4" t="s">
        <v>888</v>
      </c>
    </row>
    <row r="129" spans="2:2" x14ac:dyDescent="0.25">
      <c r="B129" s="4" t="s">
        <v>864</v>
      </c>
    </row>
    <row r="130" spans="2:2" x14ac:dyDescent="0.25">
      <c r="B130" s="4" t="s">
        <v>880</v>
      </c>
    </row>
    <row r="131" spans="2:2" x14ac:dyDescent="0.25">
      <c r="B131" s="4" t="s">
        <v>881</v>
      </c>
    </row>
    <row r="133" spans="2:2" x14ac:dyDescent="0.25">
      <c r="B133" s="4" t="s">
        <v>889</v>
      </c>
    </row>
    <row r="134" spans="2:2" x14ac:dyDescent="0.25">
      <c r="B134" s="4" t="s">
        <v>865</v>
      </c>
    </row>
    <row r="135" spans="2:2" x14ac:dyDescent="0.25">
      <c r="B135" s="4" t="s">
        <v>866</v>
      </c>
    </row>
    <row r="136" spans="2:2" x14ac:dyDescent="0.25">
      <c r="B136" s="4" t="s">
        <v>867</v>
      </c>
    </row>
    <row r="137" spans="2:2" x14ac:dyDescent="0.25">
      <c r="B137" s="4" t="s">
        <v>868</v>
      </c>
    </row>
    <row r="138" spans="2:2" x14ac:dyDescent="0.25">
      <c r="B138" s="4" t="s">
        <v>869</v>
      </c>
    </row>
    <row r="139" spans="2:2" x14ac:dyDescent="0.25">
      <c r="B139" s="4" t="s">
        <v>870</v>
      </c>
    </row>
    <row r="141" spans="2:2" x14ac:dyDescent="0.25">
      <c r="B141" s="4" t="s">
        <v>890</v>
      </c>
    </row>
    <row r="142" spans="2:2" x14ac:dyDescent="0.25">
      <c r="B142" s="4" t="s">
        <v>882</v>
      </c>
    </row>
    <row r="143" spans="2:2" x14ac:dyDescent="0.25">
      <c r="B143" s="36" t="s">
        <v>883</v>
      </c>
    </row>
    <row r="144" spans="2:2" x14ac:dyDescent="0.25">
      <c r="B144" s="4" t="s">
        <v>884</v>
      </c>
    </row>
    <row r="145" spans="2:2" x14ac:dyDescent="0.25">
      <c r="B145" s="32"/>
    </row>
    <row r="146" spans="2:2" x14ac:dyDescent="0.25">
      <c r="B146" s="4" t="s">
        <v>871</v>
      </c>
    </row>
    <row r="147" spans="2:2" x14ac:dyDescent="0.25">
      <c r="B147" s="4" t="s">
        <v>872</v>
      </c>
    </row>
  </sheetData>
  <phoneticPr fontId="1"/>
  <pageMargins left="0.75" right="0.75" top="1" bottom="1" header="0.51200000000000001" footer="0.51200000000000001"/>
  <pageSetup paperSize="9" fitToHeight="0" orientation="portrait" horizontalDpi="300" verticalDpi="300" copies="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EDA0-1FD3-49BD-85F0-26ADF11897D5}">
  <dimension ref="A1:N66"/>
  <sheetViews>
    <sheetView topLeftCell="A42" zoomScaleNormal="100" workbookViewId="0">
      <selection activeCell="A63" sqref="A63"/>
    </sheetView>
  </sheetViews>
  <sheetFormatPr defaultRowHeight="15.75" x14ac:dyDescent="0.25"/>
  <cols>
    <col min="1" max="1" width="3.25" style="3" customWidth="1"/>
    <col min="2" max="2" width="11.375" style="4" customWidth="1"/>
    <col min="3" max="3" width="12.25" style="4" customWidth="1"/>
    <col min="4" max="4" width="17.75" style="4" customWidth="1"/>
    <col min="5" max="5" width="21.75" style="4" customWidth="1"/>
    <col min="6" max="6" width="9" style="4"/>
    <col min="7" max="16384" width="9" style="2"/>
  </cols>
  <sheetData>
    <row r="1" spans="1:14" s="3" customFormat="1" ht="19.5" x14ac:dyDescent="0.3">
      <c r="A1" s="1" t="s">
        <v>905</v>
      </c>
      <c r="B1" s="4"/>
      <c r="C1" s="4"/>
      <c r="D1" s="4"/>
      <c r="E1" s="4"/>
      <c r="F1" s="5"/>
    </row>
    <row r="3" spans="1:14" x14ac:dyDescent="0.25">
      <c r="A3" s="3" t="s">
        <v>904</v>
      </c>
    </row>
    <row r="4" spans="1:14" x14ac:dyDescent="0.25">
      <c r="B4" s="4" t="s">
        <v>906</v>
      </c>
    </row>
    <row r="5" spans="1:14" x14ac:dyDescent="0.25">
      <c r="B5" s="4" t="s">
        <v>907</v>
      </c>
    </row>
    <row r="7" spans="1:14" x14ac:dyDescent="0.25">
      <c r="B7" s="4" t="s">
        <v>908</v>
      </c>
    </row>
    <row r="8" spans="1:14" x14ac:dyDescent="0.25">
      <c r="B8" s="6" t="s">
        <v>361</v>
      </c>
      <c r="C8" s="6" t="s">
        <v>325</v>
      </c>
      <c r="D8" s="6" t="s">
        <v>892</v>
      </c>
      <c r="E8" s="6" t="s">
        <v>910</v>
      </c>
      <c r="F8" s="6" t="s">
        <v>681</v>
      </c>
      <c r="G8" s="6" t="s">
        <v>911</v>
      </c>
      <c r="H8" s="6" t="s">
        <v>910</v>
      </c>
      <c r="I8" s="7" t="s">
        <v>681</v>
      </c>
      <c r="J8" s="7" t="s">
        <v>912</v>
      </c>
      <c r="K8" s="6" t="s">
        <v>910</v>
      </c>
      <c r="L8" s="7" t="s">
        <v>681</v>
      </c>
      <c r="M8" s="7" t="s">
        <v>913</v>
      </c>
      <c r="N8" s="6" t="s">
        <v>910</v>
      </c>
    </row>
    <row r="9" spans="1:14" x14ac:dyDescent="0.25">
      <c r="B9" s="4" t="s">
        <v>914</v>
      </c>
    </row>
    <row r="11" spans="1:14" x14ac:dyDescent="0.25">
      <c r="B11" s="4" t="s">
        <v>821</v>
      </c>
    </row>
    <row r="12" spans="1:14" x14ac:dyDescent="0.25">
      <c r="B12" s="7" t="s">
        <v>19</v>
      </c>
      <c r="C12" s="7" t="s">
        <v>898</v>
      </c>
      <c r="D12" s="37" t="s">
        <v>891</v>
      </c>
      <c r="E12" s="37" t="s">
        <v>891</v>
      </c>
      <c r="F12" s="7" t="s">
        <v>894</v>
      </c>
      <c r="G12" s="37" t="s">
        <v>895</v>
      </c>
      <c r="H12" s="37"/>
      <c r="I12" s="37" t="s">
        <v>895</v>
      </c>
      <c r="J12" s="37" t="s">
        <v>893</v>
      </c>
      <c r="K12" s="37" t="s">
        <v>896</v>
      </c>
      <c r="L12" s="37" t="s">
        <v>893</v>
      </c>
      <c r="M12" s="37" t="s">
        <v>897</v>
      </c>
    </row>
    <row r="13" spans="1:14" x14ac:dyDescent="0.25">
      <c r="B13" s="7" t="s">
        <v>361</v>
      </c>
      <c r="C13" s="7" t="s">
        <v>644</v>
      </c>
      <c r="D13" s="7" t="s">
        <v>680</v>
      </c>
      <c r="E13" s="7"/>
      <c r="F13" s="7" t="s">
        <v>681</v>
      </c>
      <c r="G13" s="7" t="s">
        <v>682</v>
      </c>
      <c r="H13" s="7"/>
      <c r="I13" s="7" t="s">
        <v>683</v>
      </c>
      <c r="J13" s="7"/>
      <c r="K13" s="7"/>
      <c r="L13" s="7"/>
      <c r="M13" s="7"/>
    </row>
    <row r="14" spans="1:14" x14ac:dyDescent="0.25">
      <c r="B14" s="7" t="s">
        <v>361</v>
      </c>
      <c r="C14" s="7" t="s">
        <v>645</v>
      </c>
      <c r="D14" s="7" t="s">
        <v>684</v>
      </c>
      <c r="E14" s="7" t="s">
        <v>685</v>
      </c>
      <c r="F14" s="7" t="s">
        <v>681</v>
      </c>
      <c r="G14" s="7" t="s">
        <v>682</v>
      </c>
      <c r="H14" s="7"/>
      <c r="I14" s="7"/>
      <c r="J14" s="7"/>
      <c r="K14" s="7"/>
      <c r="L14" s="7"/>
      <c r="M14" s="7"/>
    </row>
    <row r="15" spans="1:14" x14ac:dyDescent="0.25">
      <c r="B15" s="7" t="s">
        <v>361</v>
      </c>
      <c r="C15" s="7" t="s">
        <v>646</v>
      </c>
      <c r="D15" s="7" t="s">
        <v>686</v>
      </c>
      <c r="E15" s="7"/>
      <c r="F15" s="7" t="s">
        <v>673</v>
      </c>
      <c r="G15" s="7" t="s">
        <v>682</v>
      </c>
      <c r="H15" s="7"/>
      <c r="I15" s="7"/>
      <c r="J15" s="7" t="s">
        <v>673</v>
      </c>
      <c r="K15" s="7" t="s">
        <v>687</v>
      </c>
      <c r="L15" s="7"/>
      <c r="M15" s="7"/>
    </row>
    <row r="16" spans="1:14" x14ac:dyDescent="0.25">
      <c r="B16" s="7" t="s">
        <v>688</v>
      </c>
      <c r="C16" s="7" t="s">
        <v>689</v>
      </c>
      <c r="D16" s="7" t="s">
        <v>686</v>
      </c>
      <c r="E16" s="7"/>
      <c r="F16" s="7" t="s">
        <v>673</v>
      </c>
      <c r="G16" s="7" t="s">
        <v>682</v>
      </c>
      <c r="H16" s="7"/>
      <c r="I16" s="7"/>
      <c r="J16" s="7" t="s">
        <v>673</v>
      </c>
      <c r="K16" s="7" t="s">
        <v>687</v>
      </c>
      <c r="L16" s="7" t="s">
        <v>673</v>
      </c>
      <c r="M16" s="7" t="s">
        <v>690</v>
      </c>
    </row>
    <row r="19" spans="1:14" x14ac:dyDescent="0.25">
      <c r="A19" s="3" t="s">
        <v>915</v>
      </c>
    </row>
    <row r="20" spans="1:14" x14ac:dyDescent="0.25">
      <c r="B20" s="4" t="s">
        <v>916</v>
      </c>
    </row>
    <row r="22" spans="1:14" x14ac:dyDescent="0.25">
      <c r="B22" s="4" t="s">
        <v>908</v>
      </c>
    </row>
    <row r="23" spans="1:14" x14ac:dyDescent="0.25">
      <c r="B23" s="6" t="s">
        <v>364</v>
      </c>
      <c r="C23" s="6" t="s">
        <v>325</v>
      </c>
      <c r="D23" s="6" t="s">
        <v>892</v>
      </c>
      <c r="E23" s="6" t="s">
        <v>910</v>
      </c>
      <c r="F23" s="6" t="s">
        <v>681</v>
      </c>
      <c r="G23" s="6" t="s">
        <v>911</v>
      </c>
      <c r="H23" s="6" t="s">
        <v>910</v>
      </c>
      <c r="I23" s="7" t="s">
        <v>681</v>
      </c>
      <c r="J23" s="7" t="s">
        <v>896</v>
      </c>
      <c r="K23" s="6" t="s">
        <v>910</v>
      </c>
      <c r="L23" s="7" t="s">
        <v>681</v>
      </c>
      <c r="M23" s="7" t="s">
        <v>897</v>
      </c>
      <c r="N23" s="6" t="s">
        <v>910</v>
      </c>
    </row>
    <row r="25" spans="1:14" x14ac:dyDescent="0.25">
      <c r="B25" s="4" t="s">
        <v>821</v>
      </c>
    </row>
    <row r="26" spans="1:14" x14ac:dyDescent="0.25">
      <c r="B26" s="7" t="s">
        <v>19</v>
      </c>
      <c r="C26" s="7" t="s">
        <v>898</v>
      </c>
      <c r="D26" s="7" t="s">
        <v>899</v>
      </c>
      <c r="E26" s="7" t="s">
        <v>894</v>
      </c>
      <c r="F26" s="7" t="s">
        <v>900</v>
      </c>
    </row>
    <row r="27" spans="1:14" x14ac:dyDescent="0.25">
      <c r="B27" s="7" t="s">
        <v>691</v>
      </c>
      <c r="C27" s="7" t="s">
        <v>645</v>
      </c>
      <c r="D27" s="7" t="s">
        <v>692</v>
      </c>
      <c r="E27" s="7" t="s">
        <v>673</v>
      </c>
      <c r="F27" s="7" t="s">
        <v>693</v>
      </c>
    </row>
    <row r="28" spans="1:14" x14ac:dyDescent="0.25">
      <c r="B28" s="2"/>
      <c r="C28" s="2"/>
      <c r="D28" s="2"/>
      <c r="E28" s="2"/>
      <c r="F28" s="2"/>
    </row>
    <row r="29" spans="1:14" x14ac:dyDescent="0.25">
      <c r="B29" s="7" t="s">
        <v>19</v>
      </c>
      <c r="C29" s="7" t="s">
        <v>898</v>
      </c>
      <c r="D29" s="7" t="s">
        <v>901</v>
      </c>
      <c r="E29" s="7" t="s">
        <v>894</v>
      </c>
      <c r="F29" s="7" t="s">
        <v>900</v>
      </c>
      <c r="G29" s="7" t="s">
        <v>894</v>
      </c>
      <c r="H29" s="7" t="s">
        <v>902</v>
      </c>
      <c r="I29" s="7" t="s">
        <v>894</v>
      </c>
      <c r="J29" s="7" t="s">
        <v>903</v>
      </c>
    </row>
    <row r="30" spans="1:14" x14ac:dyDescent="0.25">
      <c r="B30" s="7" t="s">
        <v>691</v>
      </c>
      <c r="C30" s="7" t="s">
        <v>689</v>
      </c>
      <c r="D30" s="7" t="s">
        <v>694</v>
      </c>
      <c r="E30" s="7" t="s">
        <v>673</v>
      </c>
      <c r="F30" s="7" t="s">
        <v>695</v>
      </c>
      <c r="G30" s="7" t="s">
        <v>673</v>
      </c>
      <c r="H30" s="7" t="s">
        <v>696</v>
      </c>
      <c r="I30" s="7" t="s">
        <v>673</v>
      </c>
      <c r="J30" s="7" t="s">
        <v>697</v>
      </c>
    </row>
    <row r="31" spans="1:14" x14ac:dyDescent="0.25">
      <c r="B31" s="7" t="s">
        <v>691</v>
      </c>
      <c r="C31" s="7" t="s">
        <v>689</v>
      </c>
      <c r="D31" s="7" t="s">
        <v>698</v>
      </c>
      <c r="E31" s="7" t="s">
        <v>673</v>
      </c>
      <c r="F31" s="7" t="s">
        <v>699</v>
      </c>
      <c r="G31" s="7" t="s">
        <v>673</v>
      </c>
      <c r="H31" s="7" t="s">
        <v>696</v>
      </c>
      <c r="I31" s="7" t="s">
        <v>673</v>
      </c>
      <c r="J31" s="7" t="s">
        <v>700</v>
      </c>
    </row>
    <row r="32" spans="1:14" x14ac:dyDescent="0.25">
      <c r="B32" s="7" t="s">
        <v>691</v>
      </c>
      <c r="C32" s="7" t="s">
        <v>689</v>
      </c>
      <c r="D32" s="7" t="s">
        <v>701</v>
      </c>
      <c r="E32" s="7" t="s">
        <v>673</v>
      </c>
      <c r="F32" s="7" t="s">
        <v>702</v>
      </c>
      <c r="G32" s="7" t="s">
        <v>673</v>
      </c>
      <c r="H32" s="7" t="s">
        <v>696</v>
      </c>
      <c r="I32" s="7" t="s">
        <v>673</v>
      </c>
      <c r="J32" s="7" t="s">
        <v>703</v>
      </c>
    </row>
    <row r="33" spans="1:10" x14ac:dyDescent="0.25">
      <c r="B33" s="7" t="s">
        <v>691</v>
      </c>
      <c r="C33" s="7" t="s">
        <v>689</v>
      </c>
      <c r="D33" s="7" t="s">
        <v>704</v>
      </c>
      <c r="E33" s="7" t="s">
        <v>673</v>
      </c>
      <c r="F33" s="7" t="s">
        <v>705</v>
      </c>
      <c r="G33" s="7" t="s">
        <v>673</v>
      </c>
      <c r="H33" s="7" t="s">
        <v>696</v>
      </c>
      <c r="I33" s="7" t="s">
        <v>673</v>
      </c>
      <c r="J33" s="7" t="s">
        <v>706</v>
      </c>
    </row>
    <row r="34" spans="1:10" x14ac:dyDescent="0.25">
      <c r="B34" s="7" t="s">
        <v>691</v>
      </c>
      <c r="C34" s="7" t="s">
        <v>689</v>
      </c>
      <c r="D34" s="7" t="s">
        <v>707</v>
      </c>
      <c r="E34" s="7" t="s">
        <v>673</v>
      </c>
      <c r="F34" s="7" t="s">
        <v>708</v>
      </c>
      <c r="G34" s="7" t="s">
        <v>673</v>
      </c>
      <c r="H34" s="7" t="s">
        <v>696</v>
      </c>
      <c r="I34" s="7" t="s">
        <v>673</v>
      </c>
      <c r="J34" s="7" t="s">
        <v>709</v>
      </c>
    </row>
    <row r="35" spans="1:10" x14ac:dyDescent="0.25">
      <c r="B35" s="7" t="s">
        <v>691</v>
      </c>
      <c r="C35" s="7" t="s">
        <v>689</v>
      </c>
      <c r="D35" s="7" t="s">
        <v>710</v>
      </c>
      <c r="E35" s="7" t="s">
        <v>673</v>
      </c>
      <c r="F35" s="7" t="s">
        <v>711</v>
      </c>
      <c r="G35" s="7" t="s">
        <v>673</v>
      </c>
      <c r="H35" s="7" t="s">
        <v>696</v>
      </c>
      <c r="I35" s="7" t="s">
        <v>673</v>
      </c>
      <c r="J35" s="7" t="s">
        <v>712</v>
      </c>
    </row>
    <row r="36" spans="1:10" x14ac:dyDescent="0.25">
      <c r="B36" s="7" t="s">
        <v>691</v>
      </c>
      <c r="C36" s="7" t="s">
        <v>689</v>
      </c>
      <c r="D36" s="7" t="s">
        <v>713</v>
      </c>
      <c r="E36" s="7" t="s">
        <v>673</v>
      </c>
      <c r="F36" s="7" t="s">
        <v>714</v>
      </c>
      <c r="G36" s="7" t="s">
        <v>673</v>
      </c>
      <c r="H36" s="7" t="s">
        <v>696</v>
      </c>
      <c r="I36" s="7" t="s">
        <v>673</v>
      </c>
      <c r="J36" s="7" t="s">
        <v>715</v>
      </c>
    </row>
    <row r="37" spans="1:10" x14ac:dyDescent="0.25">
      <c r="B37" s="7" t="s">
        <v>691</v>
      </c>
      <c r="C37" s="7" t="s">
        <v>689</v>
      </c>
      <c r="D37" s="7" t="s">
        <v>716</v>
      </c>
      <c r="E37" s="7" t="s">
        <v>673</v>
      </c>
      <c r="F37" s="7" t="s">
        <v>717</v>
      </c>
      <c r="G37" s="7" t="s">
        <v>673</v>
      </c>
      <c r="H37" s="7" t="s">
        <v>696</v>
      </c>
      <c r="I37" s="7" t="s">
        <v>673</v>
      </c>
      <c r="J37" s="7" t="s">
        <v>718</v>
      </c>
    </row>
    <row r="38" spans="1:10" x14ac:dyDescent="0.25">
      <c r="B38" s="7" t="s">
        <v>691</v>
      </c>
      <c r="C38" s="7" t="s">
        <v>689</v>
      </c>
      <c r="D38" s="7" t="s">
        <v>719</v>
      </c>
      <c r="E38" s="7" t="s">
        <v>673</v>
      </c>
      <c r="F38" s="7" t="s">
        <v>720</v>
      </c>
      <c r="G38" s="7" t="s">
        <v>673</v>
      </c>
      <c r="H38" s="7" t="s">
        <v>696</v>
      </c>
      <c r="I38" s="7" t="s">
        <v>673</v>
      </c>
      <c r="J38" s="7" t="s">
        <v>721</v>
      </c>
    </row>
    <row r="39" spans="1:10" x14ac:dyDescent="0.25">
      <c r="B39" s="7" t="s">
        <v>691</v>
      </c>
      <c r="C39" s="7" t="s">
        <v>689</v>
      </c>
      <c r="D39" s="7" t="s">
        <v>722</v>
      </c>
      <c r="E39" s="7" t="s">
        <v>673</v>
      </c>
      <c r="F39" s="7" t="s">
        <v>723</v>
      </c>
      <c r="G39" s="7" t="s">
        <v>673</v>
      </c>
      <c r="H39" s="7" t="s">
        <v>696</v>
      </c>
      <c r="I39" s="7" t="s">
        <v>673</v>
      </c>
      <c r="J39" s="7" t="s">
        <v>724</v>
      </c>
    </row>
    <row r="40" spans="1:10" x14ac:dyDescent="0.25">
      <c r="B40" s="7" t="s">
        <v>691</v>
      </c>
      <c r="C40" s="7" t="s">
        <v>689</v>
      </c>
      <c r="D40" s="7" t="s">
        <v>725</v>
      </c>
      <c r="E40" s="7" t="s">
        <v>673</v>
      </c>
      <c r="F40" s="7" t="s">
        <v>726</v>
      </c>
      <c r="G40" s="7" t="s">
        <v>673</v>
      </c>
      <c r="H40" s="7" t="s">
        <v>696</v>
      </c>
      <c r="I40" s="7" t="s">
        <v>673</v>
      </c>
      <c r="J40" s="7" t="s">
        <v>727</v>
      </c>
    </row>
    <row r="41" spans="1:10" x14ac:dyDescent="0.25">
      <c r="B41" s="7" t="s">
        <v>691</v>
      </c>
      <c r="C41" s="7" t="s">
        <v>689</v>
      </c>
      <c r="D41" s="7" t="s">
        <v>728</v>
      </c>
      <c r="E41" s="7" t="s">
        <v>673</v>
      </c>
      <c r="F41" s="7" t="s">
        <v>729</v>
      </c>
      <c r="G41" s="7" t="s">
        <v>673</v>
      </c>
      <c r="H41" s="7" t="s">
        <v>696</v>
      </c>
      <c r="I41" s="7" t="s">
        <v>673</v>
      </c>
      <c r="J41" s="7" t="s">
        <v>730</v>
      </c>
    </row>
    <row r="42" spans="1:10" x14ac:dyDescent="0.25">
      <c r="B42" s="7" t="s">
        <v>691</v>
      </c>
      <c r="C42" s="7" t="s">
        <v>689</v>
      </c>
      <c r="D42" s="7" t="s">
        <v>731</v>
      </c>
      <c r="E42" s="7" t="s">
        <v>673</v>
      </c>
      <c r="F42" s="7" t="s">
        <v>732</v>
      </c>
      <c r="G42" s="7" t="s">
        <v>673</v>
      </c>
      <c r="H42" s="7" t="s">
        <v>696</v>
      </c>
      <c r="I42" s="7" t="s">
        <v>673</v>
      </c>
      <c r="J42" s="7" t="s">
        <v>733</v>
      </c>
    </row>
    <row r="43" spans="1:10" x14ac:dyDescent="0.25">
      <c r="B43" s="7" t="s">
        <v>691</v>
      </c>
      <c r="C43" s="7" t="s">
        <v>689</v>
      </c>
      <c r="D43" s="7" t="s">
        <v>734</v>
      </c>
      <c r="E43" s="7" t="s">
        <v>673</v>
      </c>
      <c r="F43" s="7" t="s">
        <v>735</v>
      </c>
      <c r="G43" s="7" t="s">
        <v>673</v>
      </c>
      <c r="H43" s="7" t="s">
        <v>696</v>
      </c>
      <c r="I43" s="7" t="s">
        <v>673</v>
      </c>
      <c r="J43" s="7" t="s">
        <v>736</v>
      </c>
    </row>
    <row r="44" spans="1:10" x14ac:dyDescent="0.25">
      <c r="B44" s="7" t="s">
        <v>691</v>
      </c>
      <c r="C44" s="7" t="s">
        <v>689</v>
      </c>
      <c r="D44" s="7" t="s">
        <v>737</v>
      </c>
      <c r="E44" s="7" t="s">
        <v>673</v>
      </c>
      <c r="F44" s="7" t="s">
        <v>738</v>
      </c>
      <c r="G44" s="7" t="s">
        <v>673</v>
      </c>
      <c r="H44" s="7" t="s">
        <v>696</v>
      </c>
      <c r="I44" s="7" t="s">
        <v>673</v>
      </c>
      <c r="J44" s="7" t="s">
        <v>739</v>
      </c>
    </row>
    <row r="45" spans="1:10" x14ac:dyDescent="0.25">
      <c r="B45" s="7" t="s">
        <v>691</v>
      </c>
      <c r="C45" s="7" t="s">
        <v>689</v>
      </c>
      <c r="D45" s="7" t="s">
        <v>740</v>
      </c>
      <c r="E45" s="7" t="s">
        <v>673</v>
      </c>
      <c r="F45" s="7" t="s">
        <v>741</v>
      </c>
      <c r="G45" s="7" t="s">
        <v>673</v>
      </c>
      <c r="H45" s="7" t="s">
        <v>696</v>
      </c>
      <c r="I45" s="7" t="s">
        <v>673</v>
      </c>
      <c r="J45" s="7" t="s">
        <v>742</v>
      </c>
    </row>
    <row r="48" spans="1:10" x14ac:dyDescent="0.25">
      <c r="A48" s="3" t="s">
        <v>917</v>
      </c>
    </row>
    <row r="49" spans="1:10" x14ac:dyDescent="0.25">
      <c r="B49" s="4" t="s">
        <v>918</v>
      </c>
    </row>
    <row r="51" spans="1:10" x14ac:dyDescent="0.25">
      <c r="B51" s="4" t="s">
        <v>908</v>
      </c>
    </row>
    <row r="52" spans="1:10" x14ac:dyDescent="0.25">
      <c r="B52" s="6" t="s">
        <v>367</v>
      </c>
      <c r="C52" s="6" t="s">
        <v>368</v>
      </c>
    </row>
    <row r="54" spans="1:10" x14ac:dyDescent="0.25">
      <c r="B54" s="4" t="s">
        <v>821</v>
      </c>
    </row>
    <row r="55" spans="1:10" x14ac:dyDescent="0.25">
      <c r="B55" s="7" t="s">
        <v>19</v>
      </c>
      <c r="C55" s="7" t="s">
        <v>745</v>
      </c>
      <c r="D55" s="6"/>
      <c r="E55" s="6"/>
      <c r="F55" s="6"/>
      <c r="G55" s="7"/>
      <c r="H55" s="7"/>
      <c r="I55" s="7"/>
      <c r="J55" s="7"/>
    </row>
    <row r="56" spans="1:10" x14ac:dyDescent="0.25">
      <c r="B56" s="7" t="s">
        <v>743</v>
      </c>
      <c r="C56" s="7" t="s">
        <v>744</v>
      </c>
      <c r="D56" s="7"/>
      <c r="E56" s="7"/>
      <c r="F56" s="7"/>
      <c r="G56" s="7"/>
      <c r="H56" s="7"/>
      <c r="I56" s="7"/>
      <c r="J56" s="7"/>
    </row>
    <row r="57" spans="1:10" x14ac:dyDescent="0.25">
      <c r="B57" s="7" t="s">
        <v>691</v>
      </c>
      <c r="C57" s="7" t="s">
        <v>689</v>
      </c>
      <c r="D57" s="7" t="s">
        <v>737</v>
      </c>
      <c r="E57" s="7" t="s">
        <v>673</v>
      </c>
      <c r="F57" s="7" t="s">
        <v>738</v>
      </c>
      <c r="G57" s="7" t="s">
        <v>673</v>
      </c>
      <c r="H57" s="7" t="s">
        <v>696</v>
      </c>
      <c r="I57" s="7" t="s">
        <v>673</v>
      </c>
      <c r="J57" s="7" t="s">
        <v>739</v>
      </c>
    </row>
    <row r="58" spans="1:10" x14ac:dyDescent="0.25">
      <c r="B58" s="7" t="s">
        <v>19</v>
      </c>
      <c r="C58" s="7" t="s">
        <v>747</v>
      </c>
      <c r="D58" s="7"/>
      <c r="E58" s="7"/>
      <c r="F58" s="7"/>
      <c r="G58" s="7"/>
      <c r="H58" s="7"/>
      <c r="I58" s="7"/>
      <c r="J58" s="7"/>
    </row>
    <row r="59" spans="1:10" x14ac:dyDescent="0.25">
      <c r="B59" s="7" t="s">
        <v>743</v>
      </c>
      <c r="C59" s="7" t="s">
        <v>746</v>
      </c>
      <c r="D59" s="7"/>
      <c r="E59" s="7"/>
      <c r="F59" s="7"/>
      <c r="G59" s="7"/>
      <c r="H59" s="7"/>
      <c r="I59" s="7"/>
      <c r="J59" s="7"/>
    </row>
    <row r="60" spans="1:10" x14ac:dyDescent="0.25">
      <c r="B60" s="7" t="s">
        <v>691</v>
      </c>
      <c r="C60" s="7" t="s">
        <v>689</v>
      </c>
      <c r="D60" s="7" t="s">
        <v>740</v>
      </c>
      <c r="E60" s="7" t="s">
        <v>673</v>
      </c>
      <c r="F60" s="7" t="s">
        <v>741</v>
      </c>
      <c r="G60" s="7" t="s">
        <v>673</v>
      </c>
      <c r="H60" s="7" t="s">
        <v>696</v>
      </c>
      <c r="I60" s="7" t="s">
        <v>673</v>
      </c>
      <c r="J60" s="7" t="s">
        <v>742</v>
      </c>
    </row>
    <row r="63" spans="1:10" x14ac:dyDescent="0.25">
      <c r="A63" s="5" t="s">
        <v>919</v>
      </c>
    </row>
    <row r="64" spans="1:10" x14ac:dyDescent="0.25">
      <c r="B64" s="4" t="s">
        <v>920</v>
      </c>
    </row>
    <row r="65" spans="2:2" x14ac:dyDescent="0.25">
      <c r="B65" s="4" t="s">
        <v>921</v>
      </c>
    </row>
    <row r="66" spans="2:2" x14ac:dyDescent="0.25">
      <c r="B66" s="4" t="s">
        <v>922</v>
      </c>
    </row>
  </sheetData>
  <phoneticPr fontId="1"/>
  <pageMargins left="0.75" right="0.35" top="1" bottom="1" header="0.51200000000000001" footer="0.51200000000000001"/>
  <pageSetup paperSize="9" scale="8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589D-BA84-4A4B-931D-54E45A948F17}">
  <dimension ref="A1:H112"/>
  <sheetViews>
    <sheetView zoomScaleNormal="100" workbookViewId="0">
      <selection activeCell="F120" sqref="F120"/>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13.125" style="4" customWidth="1"/>
    <col min="7" max="7" width="12.625" style="2" customWidth="1"/>
    <col min="8" max="16384" width="9" style="2"/>
  </cols>
  <sheetData>
    <row r="1" spans="1:8" s="3" customFormat="1" ht="19.5" x14ac:dyDescent="0.3">
      <c r="A1" s="1" t="s">
        <v>936</v>
      </c>
      <c r="B1" s="4"/>
      <c r="C1" s="4"/>
      <c r="D1" s="4"/>
      <c r="E1" s="4"/>
      <c r="F1" s="5"/>
    </row>
    <row r="3" spans="1:8" x14ac:dyDescent="0.25">
      <c r="A3" s="3" t="s">
        <v>937</v>
      </c>
    </row>
    <row r="4" spans="1:8" x14ac:dyDescent="0.25">
      <c r="B4" s="4" t="s">
        <v>939</v>
      </c>
    </row>
    <row r="5" spans="1:8" x14ac:dyDescent="0.25">
      <c r="B5" s="4" t="s">
        <v>938</v>
      </c>
    </row>
    <row r="7" spans="1:8" x14ac:dyDescent="0.25">
      <c r="B7" s="4" t="s">
        <v>940</v>
      </c>
    </row>
    <row r="8" spans="1:8" x14ac:dyDescent="0.25">
      <c r="B8" s="6" t="s">
        <v>371</v>
      </c>
      <c r="C8" s="6" t="s">
        <v>941</v>
      </c>
      <c r="D8" s="6" t="s">
        <v>942</v>
      </c>
      <c r="E8" s="6" t="s">
        <v>943</v>
      </c>
      <c r="F8" s="6" t="s">
        <v>944</v>
      </c>
      <c r="G8" s="6" t="s">
        <v>945</v>
      </c>
      <c r="H8" s="7" t="s">
        <v>909</v>
      </c>
    </row>
    <row r="9" spans="1:8" x14ac:dyDescent="0.25">
      <c r="B9" s="6" t="s">
        <v>374</v>
      </c>
      <c r="C9" s="6"/>
      <c r="D9" s="6"/>
      <c r="E9" s="6" t="s">
        <v>946</v>
      </c>
      <c r="F9" s="6" t="s">
        <v>947</v>
      </c>
      <c r="G9" s="6" t="s">
        <v>948</v>
      </c>
      <c r="H9" s="7" t="s">
        <v>909</v>
      </c>
    </row>
    <row r="10" spans="1:8" x14ac:dyDescent="0.25">
      <c r="B10" s="6" t="s">
        <v>377</v>
      </c>
      <c r="C10" s="6" t="s">
        <v>851</v>
      </c>
      <c r="D10" s="6" t="s">
        <v>495</v>
      </c>
      <c r="E10" s="6" t="s">
        <v>923</v>
      </c>
      <c r="F10" s="6" t="s">
        <v>923</v>
      </c>
      <c r="G10" s="7" t="s">
        <v>924</v>
      </c>
      <c r="H10" s="7" t="s">
        <v>909</v>
      </c>
    </row>
    <row r="13" spans="1:8" x14ac:dyDescent="0.25">
      <c r="B13" s="4" t="s">
        <v>821</v>
      </c>
    </row>
    <row r="14" spans="1:8" x14ac:dyDescent="0.25">
      <c r="B14" s="7" t="s">
        <v>19</v>
      </c>
      <c r="C14" s="7" t="s">
        <v>852</v>
      </c>
      <c r="D14" s="7" t="s">
        <v>831</v>
      </c>
      <c r="E14" s="7" t="s">
        <v>923</v>
      </c>
      <c r="F14" s="7" t="s">
        <v>923</v>
      </c>
      <c r="G14" s="7" t="s">
        <v>923</v>
      </c>
    </row>
    <row r="15" spans="1:8" x14ac:dyDescent="0.25">
      <c r="B15" s="6" t="s">
        <v>156</v>
      </c>
      <c r="C15" s="6" t="s">
        <v>157</v>
      </c>
      <c r="D15" s="6" t="s">
        <v>158</v>
      </c>
      <c r="E15" s="6" t="s">
        <v>748</v>
      </c>
      <c r="F15" s="6" t="s">
        <v>749</v>
      </c>
      <c r="G15" s="6" t="s">
        <v>750</v>
      </c>
    </row>
    <row r="16" spans="1:8" x14ac:dyDescent="0.25">
      <c r="B16" s="6" t="s">
        <v>159</v>
      </c>
      <c r="C16" s="6"/>
      <c r="D16" s="6"/>
      <c r="E16" s="6" t="s">
        <v>751</v>
      </c>
      <c r="F16" s="6" t="s">
        <v>751</v>
      </c>
      <c r="G16" s="6" t="s">
        <v>752</v>
      </c>
    </row>
    <row r="17" spans="2:7" x14ac:dyDescent="0.25">
      <c r="B17" s="6" t="s">
        <v>160</v>
      </c>
      <c r="C17" s="6">
        <v>1</v>
      </c>
      <c r="D17" s="6" t="s">
        <v>753</v>
      </c>
      <c r="E17" s="6" t="s">
        <v>754</v>
      </c>
      <c r="F17" s="6" t="s">
        <v>754</v>
      </c>
      <c r="G17" s="6" t="s">
        <v>754</v>
      </c>
    </row>
    <row r="18" spans="2:7" x14ac:dyDescent="0.25">
      <c r="B18" s="6" t="s">
        <v>160</v>
      </c>
      <c r="C18" s="6">
        <v>32</v>
      </c>
      <c r="D18" s="6"/>
      <c r="E18" s="6" t="s">
        <v>755</v>
      </c>
      <c r="F18" s="6" t="s">
        <v>755</v>
      </c>
      <c r="G18" s="6"/>
    </row>
    <row r="19" spans="2:7" x14ac:dyDescent="0.25">
      <c r="B19" s="6" t="s">
        <v>160</v>
      </c>
      <c r="C19" s="6">
        <v>8</v>
      </c>
      <c r="D19" s="6" t="s">
        <v>756</v>
      </c>
      <c r="E19" s="6"/>
      <c r="F19" s="6"/>
      <c r="G19" s="6" t="s">
        <v>757</v>
      </c>
    </row>
    <row r="20" spans="2:7" x14ac:dyDescent="0.25">
      <c r="B20" s="6" t="s">
        <v>160</v>
      </c>
      <c r="C20" s="6"/>
      <c r="D20" s="6" t="s">
        <v>758</v>
      </c>
      <c r="E20" s="6" t="s">
        <v>756</v>
      </c>
      <c r="F20" s="6"/>
      <c r="G20" s="6"/>
    </row>
    <row r="21" spans="2:7" x14ac:dyDescent="0.25">
      <c r="B21" s="6" t="s">
        <v>160</v>
      </c>
      <c r="C21" s="6"/>
      <c r="D21" s="6" t="s">
        <v>759</v>
      </c>
      <c r="E21" s="6"/>
      <c r="F21" s="6" t="s">
        <v>756</v>
      </c>
      <c r="G21" s="6"/>
    </row>
    <row r="22" spans="2:7" x14ac:dyDescent="0.25">
      <c r="B22" s="6" t="s">
        <v>160</v>
      </c>
      <c r="C22" s="6"/>
      <c r="D22" s="6" t="s">
        <v>760</v>
      </c>
      <c r="E22" s="6"/>
      <c r="F22" s="6" t="s">
        <v>232</v>
      </c>
      <c r="G22" s="6" t="s">
        <v>232</v>
      </c>
    </row>
    <row r="23" spans="2:7" x14ac:dyDescent="0.25">
      <c r="B23" s="6" t="s">
        <v>160</v>
      </c>
      <c r="C23" s="6">
        <v>1</v>
      </c>
      <c r="D23" s="6" t="s">
        <v>649</v>
      </c>
      <c r="E23" s="6"/>
      <c r="F23" s="6" t="s">
        <v>635</v>
      </c>
      <c r="G23" s="6"/>
    </row>
    <row r="24" spans="2:7" x14ac:dyDescent="0.25">
      <c r="B24" s="6" t="s">
        <v>160</v>
      </c>
      <c r="C24" s="6">
        <v>1</v>
      </c>
      <c r="D24" s="6" t="s">
        <v>761</v>
      </c>
      <c r="E24" s="6"/>
      <c r="F24" s="6"/>
      <c r="G24" s="6" t="s">
        <v>636</v>
      </c>
    </row>
    <row r="25" spans="2:7" x14ac:dyDescent="0.25">
      <c r="B25" s="6" t="s">
        <v>160</v>
      </c>
      <c r="C25" s="6"/>
      <c r="D25" s="6" t="s">
        <v>762</v>
      </c>
      <c r="E25" s="6" t="s">
        <v>763</v>
      </c>
      <c r="F25" s="6"/>
      <c r="G25" s="6"/>
    </row>
    <row r="26" spans="2:7" x14ac:dyDescent="0.25">
      <c r="B26" s="6" t="s">
        <v>160</v>
      </c>
      <c r="C26" s="6">
        <v>32</v>
      </c>
      <c r="D26" s="6" t="s">
        <v>680</v>
      </c>
      <c r="E26" s="6"/>
      <c r="F26" s="6"/>
      <c r="G26" s="6"/>
    </row>
    <row r="28" spans="2:7" x14ac:dyDescent="0.25">
      <c r="B28" s="4" t="s">
        <v>949</v>
      </c>
    </row>
    <row r="29" spans="2:7" x14ac:dyDescent="0.25">
      <c r="B29" s="6" t="s">
        <v>950</v>
      </c>
      <c r="C29" s="38" t="s">
        <v>951</v>
      </c>
      <c r="D29" s="38"/>
      <c r="E29" s="38"/>
      <c r="F29" s="39"/>
    </row>
    <row r="30" spans="2:7" x14ac:dyDescent="0.25">
      <c r="B30" s="6" t="s">
        <v>851</v>
      </c>
      <c r="C30" s="38" t="s">
        <v>952</v>
      </c>
      <c r="D30" s="38"/>
      <c r="E30" s="38"/>
      <c r="F30" s="39"/>
    </row>
    <row r="31" spans="2:7" x14ac:dyDescent="0.25">
      <c r="B31" s="6" t="s">
        <v>495</v>
      </c>
      <c r="C31" s="38" t="s">
        <v>957</v>
      </c>
      <c r="D31" s="38"/>
      <c r="E31" s="38"/>
      <c r="F31" s="39"/>
    </row>
    <row r="32" spans="2:7" x14ac:dyDescent="0.25">
      <c r="B32" s="6" t="s">
        <v>923</v>
      </c>
      <c r="C32" s="38" t="s">
        <v>953</v>
      </c>
      <c r="D32" s="38"/>
      <c r="E32" s="38"/>
      <c r="F32" s="39"/>
    </row>
    <row r="33" spans="1:7" x14ac:dyDescent="0.25">
      <c r="B33" s="6" t="s">
        <v>371</v>
      </c>
      <c r="C33" s="38" t="s">
        <v>954</v>
      </c>
      <c r="D33" s="38"/>
      <c r="E33" s="38"/>
      <c r="F33" s="39"/>
    </row>
    <row r="34" spans="1:7" x14ac:dyDescent="0.25">
      <c r="B34" s="6" t="s">
        <v>374</v>
      </c>
      <c r="C34" s="38" t="s">
        <v>955</v>
      </c>
      <c r="D34" s="38"/>
      <c r="E34" s="38"/>
      <c r="F34" s="39"/>
    </row>
    <row r="35" spans="1:7" x14ac:dyDescent="0.25">
      <c r="B35" s="6" t="s">
        <v>377</v>
      </c>
      <c r="C35" s="38" t="s">
        <v>956</v>
      </c>
      <c r="D35" s="38"/>
      <c r="E35" s="38"/>
      <c r="F35" s="39"/>
    </row>
    <row r="38" spans="1:7" x14ac:dyDescent="0.25">
      <c r="A38" s="3" t="s">
        <v>958</v>
      </c>
    </row>
    <row r="39" spans="1:7" x14ac:dyDescent="0.25">
      <c r="B39" s="4" t="s">
        <v>959</v>
      </c>
    </row>
    <row r="40" spans="1:7" x14ac:dyDescent="0.25">
      <c r="B40" s="4" t="s">
        <v>960</v>
      </c>
    </row>
    <row r="42" spans="1:7" x14ac:dyDescent="0.25">
      <c r="B42" s="4" t="s">
        <v>821</v>
      </c>
    </row>
    <row r="43" spans="1:7" x14ac:dyDescent="0.25">
      <c r="B43" s="4" t="s">
        <v>961</v>
      </c>
    </row>
    <row r="44" spans="1:7" x14ac:dyDescent="0.25">
      <c r="B44" s="6" t="s">
        <v>156</v>
      </c>
      <c r="C44" s="6" t="s">
        <v>157</v>
      </c>
      <c r="D44" s="6" t="s">
        <v>158</v>
      </c>
      <c r="E44" s="18" t="s">
        <v>748</v>
      </c>
      <c r="F44" s="6" t="s">
        <v>749</v>
      </c>
      <c r="G44" s="6" t="s">
        <v>750</v>
      </c>
    </row>
    <row r="45" spans="1:7" x14ac:dyDescent="0.25">
      <c r="B45" s="6" t="s">
        <v>159</v>
      </c>
      <c r="C45" s="6"/>
      <c r="D45" s="6"/>
      <c r="E45" s="18" t="s">
        <v>751</v>
      </c>
      <c r="F45" s="6" t="s">
        <v>751</v>
      </c>
      <c r="G45" s="6" t="s">
        <v>752</v>
      </c>
    </row>
    <row r="46" spans="1:7" x14ac:dyDescent="0.25">
      <c r="B46" s="6" t="s">
        <v>160</v>
      </c>
      <c r="C46" s="6">
        <v>1</v>
      </c>
      <c r="D46" s="6" t="s">
        <v>753</v>
      </c>
      <c r="E46" s="18" t="s">
        <v>754</v>
      </c>
      <c r="F46" s="6" t="s">
        <v>754</v>
      </c>
      <c r="G46" s="6" t="s">
        <v>754</v>
      </c>
    </row>
    <row r="47" spans="1:7" x14ac:dyDescent="0.25">
      <c r="B47" s="6" t="s">
        <v>160</v>
      </c>
      <c r="C47" s="6">
        <v>32</v>
      </c>
      <c r="D47" s="6"/>
      <c r="E47" s="18" t="s">
        <v>755</v>
      </c>
      <c r="F47" s="6" t="s">
        <v>755</v>
      </c>
      <c r="G47" s="6"/>
    </row>
    <row r="48" spans="1:7" x14ac:dyDescent="0.25">
      <c r="B48" s="6" t="s">
        <v>160</v>
      </c>
      <c r="C48" s="6">
        <v>8</v>
      </c>
      <c r="D48" s="6" t="s">
        <v>756</v>
      </c>
      <c r="E48" s="18"/>
      <c r="F48" s="6"/>
      <c r="G48" s="6" t="s">
        <v>757</v>
      </c>
    </row>
    <row r="49" spans="2:7" x14ac:dyDescent="0.25">
      <c r="B49" s="6" t="s">
        <v>160</v>
      </c>
      <c r="C49" s="6"/>
      <c r="D49" s="6" t="s">
        <v>758</v>
      </c>
      <c r="E49" s="18" t="s">
        <v>756</v>
      </c>
      <c r="F49" s="6"/>
      <c r="G49" s="6"/>
    </row>
    <row r="50" spans="2:7" x14ac:dyDescent="0.25">
      <c r="B50" s="6" t="s">
        <v>160</v>
      </c>
      <c r="C50" s="6"/>
      <c r="D50" s="6" t="s">
        <v>759</v>
      </c>
      <c r="E50" s="18"/>
      <c r="F50" s="6" t="s">
        <v>756</v>
      </c>
      <c r="G50" s="6"/>
    </row>
    <row r="51" spans="2:7" x14ac:dyDescent="0.25">
      <c r="B51" s="6" t="s">
        <v>160</v>
      </c>
      <c r="C51" s="6"/>
      <c r="D51" s="6" t="s">
        <v>760</v>
      </c>
      <c r="E51" s="18"/>
      <c r="F51" s="6" t="s">
        <v>232</v>
      </c>
      <c r="G51" s="6" t="s">
        <v>232</v>
      </c>
    </row>
    <row r="52" spans="2:7" x14ac:dyDescent="0.25">
      <c r="B52" s="6" t="s">
        <v>160</v>
      </c>
      <c r="C52" s="6">
        <v>8</v>
      </c>
      <c r="D52" s="6" t="s">
        <v>644</v>
      </c>
      <c r="E52" s="18"/>
      <c r="F52" s="6" t="s">
        <v>635</v>
      </c>
      <c r="G52" s="6"/>
    </row>
    <row r="53" spans="2:7" x14ac:dyDescent="0.25">
      <c r="B53" s="6" t="s">
        <v>160</v>
      </c>
      <c r="C53" s="6">
        <v>2</v>
      </c>
      <c r="D53" s="6" t="s">
        <v>645</v>
      </c>
      <c r="E53" s="18"/>
      <c r="F53" s="6"/>
      <c r="G53" s="6" t="s">
        <v>636</v>
      </c>
    </row>
    <row r="54" spans="2:7" x14ac:dyDescent="0.25">
      <c r="B54" s="6" t="s">
        <v>160</v>
      </c>
      <c r="C54" s="6"/>
      <c r="D54" s="6" t="s">
        <v>762</v>
      </c>
      <c r="E54" s="18" t="s">
        <v>763</v>
      </c>
      <c r="F54" s="6"/>
      <c r="G54" s="6"/>
    </row>
    <row r="55" spans="2:7" x14ac:dyDescent="0.25">
      <c r="B55" s="6" t="s">
        <v>160</v>
      </c>
      <c r="C55" s="6">
        <v>32</v>
      </c>
      <c r="D55" s="6" t="s">
        <v>680</v>
      </c>
      <c r="E55" s="18"/>
      <c r="F55" s="6"/>
      <c r="G55" s="6"/>
    </row>
    <row r="57" spans="2:7" x14ac:dyDescent="0.25">
      <c r="B57" s="4" t="s">
        <v>962</v>
      </c>
    </row>
    <row r="58" spans="2:7" x14ac:dyDescent="0.25">
      <c r="B58" s="6" t="s">
        <v>156</v>
      </c>
      <c r="C58" s="6" t="s">
        <v>157</v>
      </c>
      <c r="D58" s="6" t="s">
        <v>158</v>
      </c>
      <c r="E58" s="18" t="s">
        <v>748</v>
      </c>
      <c r="F58" s="6" t="s">
        <v>764</v>
      </c>
    </row>
    <row r="59" spans="2:7" x14ac:dyDescent="0.25">
      <c r="B59" s="6" t="s">
        <v>159</v>
      </c>
      <c r="C59" s="6"/>
      <c r="D59" s="6"/>
      <c r="E59" s="18" t="s">
        <v>751</v>
      </c>
      <c r="F59" s="6" t="s">
        <v>765</v>
      </c>
    </row>
    <row r="60" spans="2:7" x14ac:dyDescent="0.25">
      <c r="B60" s="6" t="s">
        <v>160</v>
      </c>
      <c r="C60" s="7">
        <v>1</v>
      </c>
      <c r="D60" s="6" t="s">
        <v>753</v>
      </c>
      <c r="E60" s="18" t="s">
        <v>754</v>
      </c>
      <c r="F60" s="6" t="s">
        <v>754</v>
      </c>
    </row>
    <row r="61" spans="2:7" x14ac:dyDescent="0.25">
      <c r="B61" s="6" t="s">
        <v>160</v>
      </c>
      <c r="C61" s="6"/>
      <c r="D61" s="6" t="s">
        <v>758</v>
      </c>
      <c r="E61" s="18" t="s">
        <v>756</v>
      </c>
      <c r="F61" s="6" t="s">
        <v>756</v>
      </c>
    </row>
    <row r="62" spans="2:7" x14ac:dyDescent="0.25">
      <c r="B62" s="6" t="s">
        <v>160</v>
      </c>
      <c r="C62" s="7">
        <v>32</v>
      </c>
      <c r="D62" s="7" t="s">
        <v>766</v>
      </c>
      <c r="E62" s="19" t="s">
        <v>767</v>
      </c>
      <c r="F62" s="7" t="s">
        <v>768</v>
      </c>
    </row>
    <row r="63" spans="2:7" x14ac:dyDescent="0.25">
      <c r="B63" s="6" t="s">
        <v>160</v>
      </c>
      <c r="C63" s="7">
        <v>32</v>
      </c>
      <c r="D63" s="7"/>
      <c r="E63" s="19" t="s">
        <v>769</v>
      </c>
      <c r="F63" s="7" t="s">
        <v>770</v>
      </c>
    </row>
    <row r="65" spans="1:6" x14ac:dyDescent="0.25">
      <c r="B65" s="4" t="s">
        <v>963</v>
      </c>
    </row>
    <row r="66" spans="1:6" x14ac:dyDescent="0.25">
      <c r="B66" s="4" t="s">
        <v>964</v>
      </c>
    </row>
    <row r="67" spans="1:6" x14ac:dyDescent="0.25">
      <c r="B67" s="4" t="s">
        <v>965</v>
      </c>
    </row>
    <row r="68" spans="1:6" x14ac:dyDescent="0.25">
      <c r="B68" s="4" t="s">
        <v>966</v>
      </c>
    </row>
    <row r="71" spans="1:6" x14ac:dyDescent="0.25">
      <c r="A71" s="3" t="s">
        <v>967</v>
      </c>
    </row>
    <row r="72" spans="1:6" x14ac:dyDescent="0.25">
      <c r="B72" s="4" t="s">
        <v>968</v>
      </c>
    </row>
    <row r="73" spans="1:6" x14ac:dyDescent="0.25">
      <c r="B73" s="4" t="s">
        <v>969</v>
      </c>
    </row>
    <row r="74" spans="1:6" x14ac:dyDescent="0.25">
      <c r="B74" s="4" t="s">
        <v>970</v>
      </c>
    </row>
    <row r="76" spans="1:6" x14ac:dyDescent="0.25">
      <c r="B76" s="4" t="s">
        <v>821</v>
      </c>
    </row>
    <row r="77" spans="1:6" x14ac:dyDescent="0.25">
      <c r="B77" s="6" t="s">
        <v>156</v>
      </c>
      <c r="C77" s="6" t="s">
        <v>157</v>
      </c>
      <c r="D77" s="6" t="s">
        <v>158</v>
      </c>
      <c r="E77" s="6" t="s">
        <v>748</v>
      </c>
      <c r="F77" s="6" t="s">
        <v>749</v>
      </c>
    </row>
    <row r="78" spans="1:6" x14ac:dyDescent="0.25">
      <c r="B78" s="6" t="s">
        <v>159</v>
      </c>
      <c r="C78" s="6"/>
      <c r="D78" s="6"/>
      <c r="E78" s="6" t="s">
        <v>751</v>
      </c>
      <c r="F78" s="6" t="s">
        <v>751</v>
      </c>
    </row>
    <row r="79" spans="1:6" x14ac:dyDescent="0.25">
      <c r="B79" s="6" t="s">
        <v>160</v>
      </c>
      <c r="C79" s="6">
        <v>1</v>
      </c>
      <c r="D79" s="6" t="s">
        <v>753</v>
      </c>
      <c r="E79" s="31" t="s">
        <v>771</v>
      </c>
      <c r="F79" s="6" t="s">
        <v>772</v>
      </c>
    </row>
    <row r="80" spans="1:6" x14ac:dyDescent="0.25">
      <c r="B80" s="6" t="s">
        <v>160</v>
      </c>
      <c r="C80" s="6">
        <v>32</v>
      </c>
      <c r="D80" s="6"/>
      <c r="E80" s="31" t="s">
        <v>773</v>
      </c>
      <c r="F80" s="6" t="s">
        <v>755</v>
      </c>
    </row>
    <row r="81" spans="2:6" x14ac:dyDescent="0.25">
      <c r="B81" s="6" t="s">
        <v>160</v>
      </c>
      <c r="C81" s="6">
        <v>8</v>
      </c>
      <c r="D81" s="6" t="s">
        <v>756</v>
      </c>
      <c r="E81" s="31" t="s">
        <v>774</v>
      </c>
      <c r="F81" s="6" t="s">
        <v>775</v>
      </c>
    </row>
    <row r="83" spans="2:6" x14ac:dyDescent="0.25">
      <c r="B83" s="4" t="s">
        <v>971</v>
      </c>
    </row>
    <row r="84" spans="2:6" x14ac:dyDescent="0.25">
      <c r="B84" s="6" t="s">
        <v>972</v>
      </c>
      <c r="C84" s="38" t="s">
        <v>951</v>
      </c>
      <c r="D84" s="38"/>
      <c r="E84" s="38"/>
      <c r="F84" s="39"/>
    </row>
    <row r="85" spans="2:6" x14ac:dyDescent="0.25">
      <c r="B85" s="6" t="s">
        <v>973</v>
      </c>
      <c r="C85" s="38" t="s">
        <v>974</v>
      </c>
      <c r="D85" s="38"/>
      <c r="E85" s="38"/>
      <c r="F85" s="39"/>
    </row>
    <row r="86" spans="2:6" x14ac:dyDescent="0.25">
      <c r="B86" s="6" t="s">
        <v>975</v>
      </c>
      <c r="C86" s="38" t="s">
        <v>976</v>
      </c>
      <c r="D86" s="38"/>
      <c r="E86" s="38"/>
      <c r="F86" s="39"/>
    </row>
    <row r="87" spans="2:6" x14ac:dyDescent="0.25">
      <c r="B87" s="6" t="s">
        <v>977</v>
      </c>
      <c r="C87" s="38" t="s">
        <v>978</v>
      </c>
      <c r="D87" s="38"/>
      <c r="E87" s="38"/>
      <c r="F87" s="39"/>
    </row>
    <row r="88" spans="2:6" x14ac:dyDescent="0.25">
      <c r="B88" s="6" t="s">
        <v>979</v>
      </c>
      <c r="C88" s="38" t="s">
        <v>980</v>
      </c>
      <c r="D88" s="38"/>
      <c r="E88" s="38"/>
      <c r="F88" s="39"/>
    </row>
    <row r="90" spans="2:6" x14ac:dyDescent="0.25">
      <c r="B90" s="4" t="s">
        <v>981</v>
      </c>
    </row>
    <row r="91" spans="2:6" x14ac:dyDescent="0.25">
      <c r="B91" s="2" t="s">
        <v>925</v>
      </c>
    </row>
    <row r="92" spans="2:6" x14ac:dyDescent="0.25">
      <c r="B92" s="2" t="s">
        <v>926</v>
      </c>
    </row>
    <row r="93" spans="2:6" x14ac:dyDescent="0.25">
      <c r="B93" s="2" t="s">
        <v>927</v>
      </c>
    </row>
    <row r="94" spans="2:6" x14ac:dyDescent="0.25">
      <c r="B94" s="2" t="s">
        <v>928</v>
      </c>
    </row>
    <row r="95" spans="2:6" x14ac:dyDescent="0.25">
      <c r="B95" s="2" t="s">
        <v>929</v>
      </c>
    </row>
    <row r="96" spans="2:6" x14ac:dyDescent="0.25">
      <c r="B96" s="2" t="s">
        <v>930</v>
      </c>
    </row>
    <row r="97" spans="1:2" x14ac:dyDescent="0.25">
      <c r="B97" s="2" t="s">
        <v>931</v>
      </c>
    </row>
    <row r="98" spans="1:2" x14ac:dyDescent="0.25">
      <c r="B98" s="2" t="s">
        <v>932</v>
      </c>
    </row>
    <row r="99" spans="1:2" x14ac:dyDescent="0.25">
      <c r="B99" s="2" t="s">
        <v>933</v>
      </c>
    </row>
    <row r="100" spans="1:2" x14ac:dyDescent="0.25">
      <c r="B100" s="2" t="s">
        <v>934</v>
      </c>
    </row>
    <row r="101" spans="1:2" x14ac:dyDescent="0.25">
      <c r="B101" s="2" t="s">
        <v>935</v>
      </c>
    </row>
    <row r="102" spans="1:2" x14ac:dyDescent="0.25">
      <c r="B102" s="2" t="s">
        <v>930</v>
      </c>
    </row>
    <row r="105" spans="1:2" x14ac:dyDescent="0.25">
      <c r="A105" s="5" t="s">
        <v>919</v>
      </c>
    </row>
    <row r="106" spans="1:2" x14ac:dyDescent="0.25">
      <c r="B106" s="4" t="s">
        <v>982</v>
      </c>
    </row>
    <row r="107" spans="1:2" x14ac:dyDescent="0.25">
      <c r="B107" s="4" t="s">
        <v>983</v>
      </c>
    </row>
    <row r="108" spans="1:2" x14ac:dyDescent="0.25">
      <c r="B108" s="4" t="s">
        <v>984</v>
      </c>
    </row>
    <row r="109" spans="1:2" x14ac:dyDescent="0.25">
      <c r="B109" s="4" t="s">
        <v>985</v>
      </c>
    </row>
    <row r="110" spans="1:2" x14ac:dyDescent="0.25">
      <c r="B110" s="4" t="s">
        <v>986</v>
      </c>
    </row>
    <row r="111" spans="1:2" x14ac:dyDescent="0.25">
      <c r="B111" s="4" t="s">
        <v>987</v>
      </c>
    </row>
    <row r="112" spans="1:2" x14ac:dyDescent="0.25">
      <c r="B112" s="4" t="s">
        <v>988</v>
      </c>
    </row>
  </sheetData>
  <phoneticPr fontId="1"/>
  <pageMargins left="0.75" right="0.35" top="1" bottom="1" header="0.51200000000000001" footer="0.51200000000000001"/>
  <pageSetup paperSize="9" scale="8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8E87-1384-441C-AAE6-001618F8A872}">
  <dimension ref="A1:J125"/>
  <sheetViews>
    <sheetView topLeftCell="A3" zoomScaleNormal="100" workbookViewId="0">
      <selection activeCell="B43" sqref="B43:E66"/>
    </sheetView>
  </sheetViews>
  <sheetFormatPr defaultRowHeight="15.75" x14ac:dyDescent="0.25"/>
  <cols>
    <col min="1" max="1" width="3.25" style="3" customWidth="1"/>
    <col min="2" max="2" width="17.75" style="4" customWidth="1"/>
    <col min="3" max="3" width="22.75" style="4" bestFit="1" customWidth="1"/>
    <col min="4" max="4" width="20.125" style="4" bestFit="1" customWidth="1"/>
    <col min="5" max="5" width="9" style="4"/>
    <col min="6" max="7" width="18" style="2" bestFit="1" customWidth="1"/>
    <col min="8" max="16384" width="9" style="2"/>
  </cols>
  <sheetData>
    <row r="1" spans="1:9" s="3" customFormat="1" ht="19.5" x14ac:dyDescent="0.3">
      <c r="A1" s="1" t="s">
        <v>990</v>
      </c>
      <c r="B1" s="4"/>
      <c r="C1" s="4"/>
      <c r="D1" s="4"/>
      <c r="E1" s="5"/>
    </row>
    <row r="3" spans="1:9" x14ac:dyDescent="0.25">
      <c r="A3" s="3" t="s">
        <v>991</v>
      </c>
    </row>
    <row r="4" spans="1:9" x14ac:dyDescent="0.25">
      <c r="B4" s="4" t="s">
        <v>992</v>
      </c>
    </row>
    <row r="6" spans="1:9" x14ac:dyDescent="0.25">
      <c r="B6" s="4" t="s">
        <v>993</v>
      </c>
    </row>
    <row r="7" spans="1:9" x14ac:dyDescent="0.25">
      <c r="B7" s="12" t="s">
        <v>776</v>
      </c>
      <c r="C7" s="12" t="s">
        <v>777</v>
      </c>
      <c r="D7" s="12"/>
      <c r="E7" s="12" t="s">
        <v>778</v>
      </c>
      <c r="F7" s="12"/>
      <c r="G7" s="12"/>
      <c r="H7" s="12"/>
      <c r="I7" s="12"/>
    </row>
    <row r="8" spans="1:9" x14ac:dyDescent="0.25">
      <c r="B8" s="11" t="s">
        <v>779</v>
      </c>
      <c r="C8" s="11" t="s">
        <v>44</v>
      </c>
      <c r="D8" s="11" t="s">
        <v>52</v>
      </c>
      <c r="E8" s="11"/>
      <c r="F8" s="11"/>
      <c r="G8" s="11"/>
      <c r="H8" s="11"/>
      <c r="I8" s="11"/>
    </row>
    <row r="9" spans="1:9" x14ac:dyDescent="0.25">
      <c r="B9" s="11" t="s">
        <v>779</v>
      </c>
      <c r="C9" s="11" t="s">
        <v>206</v>
      </c>
      <c r="D9" s="11" t="s">
        <v>780</v>
      </c>
      <c r="E9" s="11"/>
      <c r="F9" s="11"/>
      <c r="G9" s="11"/>
      <c r="H9" s="11"/>
      <c r="I9" s="11"/>
    </row>
    <row r="10" spans="1:9" x14ac:dyDescent="0.25">
      <c r="B10" s="11" t="s">
        <v>121</v>
      </c>
      <c r="C10" s="11" t="s">
        <v>781</v>
      </c>
      <c r="D10" s="11" t="s">
        <v>778</v>
      </c>
      <c r="E10" s="11" t="s">
        <v>782</v>
      </c>
      <c r="F10" s="11"/>
      <c r="G10" s="11"/>
      <c r="H10" s="11"/>
      <c r="I10" s="11"/>
    </row>
    <row r="11" spans="1:9" x14ac:dyDescent="0.25">
      <c r="B11" s="11" t="s">
        <v>12</v>
      </c>
      <c r="C11" s="11" t="s">
        <v>783</v>
      </c>
      <c r="D11" s="11"/>
      <c r="F11" s="11" t="s">
        <v>673</v>
      </c>
      <c r="G11" s="11" t="s">
        <v>784</v>
      </c>
      <c r="H11" s="11"/>
      <c r="I11" s="11"/>
    </row>
    <row r="12" spans="1:9" x14ac:dyDescent="0.25">
      <c r="B12" s="11" t="s">
        <v>12</v>
      </c>
      <c r="C12" s="11" t="s">
        <v>785</v>
      </c>
      <c r="D12" s="11"/>
      <c r="E12" s="11"/>
      <c r="F12" s="11"/>
      <c r="G12" s="11"/>
      <c r="H12" s="11"/>
      <c r="I12" s="11"/>
    </row>
    <row r="13" spans="1:9" x14ac:dyDescent="0.25">
      <c r="B13" s="11"/>
      <c r="C13" s="11" t="s">
        <v>12</v>
      </c>
      <c r="D13" s="11" t="s">
        <v>786</v>
      </c>
      <c r="E13" s="11"/>
      <c r="F13" s="11" t="s">
        <v>673</v>
      </c>
      <c r="G13" s="11" t="s">
        <v>787</v>
      </c>
      <c r="H13" s="11"/>
      <c r="I13" s="11"/>
    </row>
    <row r="14" spans="1:9" x14ac:dyDescent="0.25">
      <c r="B14" s="11"/>
      <c r="C14" s="11" t="s">
        <v>137</v>
      </c>
      <c r="D14" s="11"/>
      <c r="E14" s="11"/>
      <c r="F14" s="11" t="s">
        <v>673</v>
      </c>
      <c r="G14" s="11" t="s">
        <v>788</v>
      </c>
      <c r="H14" s="11"/>
      <c r="I14" s="11"/>
    </row>
    <row r="15" spans="1:9" x14ac:dyDescent="0.25">
      <c r="B15" s="11" t="s">
        <v>11</v>
      </c>
      <c r="C15" s="11"/>
      <c r="D15" s="11"/>
      <c r="E15" s="11"/>
      <c r="F15" s="11"/>
      <c r="G15" s="11"/>
      <c r="H15" s="11"/>
      <c r="I15" s="11"/>
    </row>
    <row r="16" spans="1:9" x14ac:dyDescent="0.25">
      <c r="B16" s="11" t="s">
        <v>12</v>
      </c>
      <c r="C16" s="11" t="s">
        <v>789</v>
      </c>
      <c r="D16" s="11"/>
      <c r="E16" s="11"/>
      <c r="F16" s="11"/>
      <c r="G16" s="11"/>
      <c r="H16" s="11"/>
      <c r="I16" s="11"/>
    </row>
    <row r="17" spans="2:9" x14ac:dyDescent="0.25">
      <c r="B17" s="11"/>
      <c r="C17" s="11" t="s">
        <v>12</v>
      </c>
      <c r="D17" s="11" t="s">
        <v>790</v>
      </c>
      <c r="E17" s="11"/>
      <c r="F17" s="11" t="s">
        <v>673</v>
      </c>
      <c r="G17" s="11" t="s">
        <v>791</v>
      </c>
      <c r="H17" s="11"/>
      <c r="I17" s="11"/>
    </row>
    <row r="18" spans="2:9" x14ac:dyDescent="0.25">
      <c r="B18" s="11"/>
      <c r="C18" s="11" t="s">
        <v>12</v>
      </c>
      <c r="D18" s="11" t="s">
        <v>792</v>
      </c>
      <c r="E18" s="11"/>
      <c r="F18" s="11" t="s">
        <v>673</v>
      </c>
      <c r="G18" s="11" t="s">
        <v>793</v>
      </c>
      <c r="H18" s="11"/>
      <c r="I18" s="11"/>
    </row>
    <row r="19" spans="2:9" x14ac:dyDescent="0.25">
      <c r="B19" s="11"/>
      <c r="C19" s="11" t="s">
        <v>12</v>
      </c>
      <c r="D19" s="11" t="s">
        <v>794</v>
      </c>
      <c r="E19" s="11"/>
      <c r="F19" s="11" t="s">
        <v>673</v>
      </c>
      <c r="G19" s="11" t="s">
        <v>795</v>
      </c>
      <c r="H19" s="11"/>
      <c r="I19" s="11"/>
    </row>
    <row r="20" spans="2:9" x14ac:dyDescent="0.25">
      <c r="B20" s="11"/>
      <c r="C20" s="11" t="s">
        <v>12</v>
      </c>
      <c r="D20" s="11" t="s">
        <v>796</v>
      </c>
      <c r="E20" s="11"/>
      <c r="F20" s="11" t="s">
        <v>673</v>
      </c>
      <c r="G20" s="11" t="s">
        <v>797</v>
      </c>
      <c r="H20" s="11"/>
      <c r="I20" s="11"/>
    </row>
    <row r="21" spans="2:9" x14ac:dyDescent="0.25">
      <c r="B21" s="11" t="s">
        <v>11</v>
      </c>
      <c r="C21" s="11" t="s">
        <v>798</v>
      </c>
      <c r="D21" s="11"/>
      <c r="E21" s="11"/>
      <c r="F21" s="11"/>
      <c r="G21" s="11"/>
      <c r="H21" s="11"/>
      <c r="I21" s="11"/>
    </row>
    <row r="22" spans="2:9" x14ac:dyDescent="0.25">
      <c r="B22" s="11" t="s">
        <v>125</v>
      </c>
      <c r="C22" s="11" t="s">
        <v>799</v>
      </c>
      <c r="D22" s="11"/>
      <c r="E22" s="11"/>
      <c r="F22" s="11"/>
      <c r="G22" s="11"/>
      <c r="H22" s="11"/>
      <c r="I22" s="11"/>
    </row>
    <row r="24" spans="2:9" x14ac:dyDescent="0.25">
      <c r="B24" s="4" t="s">
        <v>994</v>
      </c>
    </row>
    <row r="25" spans="2:9" x14ac:dyDescent="0.25">
      <c r="B25" s="6" t="s">
        <v>776</v>
      </c>
      <c r="C25" s="6" t="s">
        <v>997</v>
      </c>
      <c r="D25" s="6" t="s">
        <v>998</v>
      </c>
      <c r="E25" s="6" t="s">
        <v>999</v>
      </c>
    </row>
    <row r="26" spans="2:9" x14ac:dyDescent="0.25">
      <c r="B26" s="4" t="s">
        <v>995</v>
      </c>
    </row>
    <row r="27" spans="2:9" x14ac:dyDescent="0.25">
      <c r="B27" s="4" t="s">
        <v>996</v>
      </c>
    </row>
    <row r="29" spans="2:9" x14ac:dyDescent="0.25">
      <c r="B29" s="4" t="s">
        <v>1000</v>
      </c>
    </row>
    <row r="30" spans="2:9" x14ac:dyDescent="0.25">
      <c r="B30" s="11" t="s">
        <v>779</v>
      </c>
      <c r="C30" s="11" t="s">
        <v>1001</v>
      </c>
      <c r="D30" s="11" t="s">
        <v>852</v>
      </c>
    </row>
    <row r="33" spans="1:5" x14ac:dyDescent="0.25">
      <c r="B33" s="4" t="s">
        <v>1002</v>
      </c>
    </row>
    <row r="34" spans="1:5" x14ac:dyDescent="0.25">
      <c r="B34" s="6" t="s">
        <v>465</v>
      </c>
      <c r="C34" s="6" t="s">
        <v>1003</v>
      </c>
      <c r="D34" s="6" t="s">
        <v>852</v>
      </c>
      <c r="E34" s="6" t="s">
        <v>61</v>
      </c>
    </row>
    <row r="37" spans="1:5" x14ac:dyDescent="0.25">
      <c r="B37" s="4" t="s">
        <v>1004</v>
      </c>
    </row>
    <row r="38" spans="1:5" x14ac:dyDescent="0.25">
      <c r="B38" s="11" t="s">
        <v>125</v>
      </c>
      <c r="C38" s="11" t="s">
        <v>1005</v>
      </c>
    </row>
    <row r="41" spans="1:5" x14ac:dyDescent="0.25">
      <c r="A41" s="3" t="s">
        <v>1006</v>
      </c>
    </row>
    <row r="43" spans="1:5" x14ac:dyDescent="0.25">
      <c r="B43" s="4" t="s">
        <v>1008</v>
      </c>
    </row>
    <row r="44" spans="1:5" x14ac:dyDescent="0.25">
      <c r="B44" s="6" t="s">
        <v>12</v>
      </c>
      <c r="C44" s="6" t="s">
        <v>1009</v>
      </c>
    </row>
    <row r="45" spans="1:5" x14ac:dyDescent="0.25">
      <c r="B45" s="6"/>
      <c r="C45" s="6" t="s">
        <v>1007</v>
      </c>
    </row>
    <row r="46" spans="1:5" x14ac:dyDescent="0.25">
      <c r="B46" s="6" t="s">
        <v>4</v>
      </c>
      <c r="C46" s="6"/>
    </row>
    <row r="47" spans="1:5" x14ac:dyDescent="0.25">
      <c r="B47" s="6"/>
      <c r="C47" s="6" t="s">
        <v>1007</v>
      </c>
    </row>
    <row r="48" spans="1:5" x14ac:dyDescent="0.25">
      <c r="B48" s="6" t="s">
        <v>3</v>
      </c>
      <c r="C48" s="6"/>
    </row>
    <row r="50" spans="2:5" x14ac:dyDescent="0.25">
      <c r="B50" s="4" t="s">
        <v>1010</v>
      </c>
    </row>
    <row r="51" spans="2:5" x14ac:dyDescent="0.25">
      <c r="B51" s="6" t="s">
        <v>12</v>
      </c>
      <c r="C51" s="6" t="s">
        <v>1009</v>
      </c>
    </row>
    <row r="52" spans="2:5" x14ac:dyDescent="0.25">
      <c r="B52" s="6"/>
      <c r="C52" s="6" t="s">
        <v>1007</v>
      </c>
    </row>
    <row r="53" spans="2:5" x14ac:dyDescent="0.25">
      <c r="B53" s="6" t="s">
        <v>3</v>
      </c>
      <c r="C53" s="6"/>
    </row>
    <row r="56" spans="2:5" x14ac:dyDescent="0.25">
      <c r="B56" s="4" t="s">
        <v>1011</v>
      </c>
    </row>
    <row r="57" spans="2:5" x14ac:dyDescent="0.25">
      <c r="B57" s="11" t="s">
        <v>12</v>
      </c>
      <c r="C57" s="11" t="s">
        <v>832</v>
      </c>
      <c r="D57" s="11" t="s">
        <v>673</v>
      </c>
      <c r="E57" s="11" t="s">
        <v>1013</v>
      </c>
    </row>
    <row r="58" spans="2:5" x14ac:dyDescent="0.25">
      <c r="B58" s="11" t="s">
        <v>137</v>
      </c>
      <c r="C58" s="11"/>
      <c r="D58" s="11" t="s">
        <v>673</v>
      </c>
      <c r="E58" s="11" t="s">
        <v>1014</v>
      </c>
    </row>
    <row r="59" spans="2:5" x14ac:dyDescent="0.25">
      <c r="B59" s="4" t="s">
        <v>1012</v>
      </c>
    </row>
    <row r="60" spans="2:5" x14ac:dyDescent="0.25">
      <c r="B60" s="11" t="s">
        <v>12</v>
      </c>
      <c r="C60" s="11" t="s">
        <v>832</v>
      </c>
      <c r="D60" s="6"/>
      <c r="E60" s="6"/>
    </row>
    <row r="61" spans="2:5" x14ac:dyDescent="0.25">
      <c r="B61" s="6"/>
      <c r="C61" s="6" t="s">
        <v>125</v>
      </c>
      <c r="D61" s="11" t="s">
        <v>1013</v>
      </c>
      <c r="E61" s="6"/>
    </row>
    <row r="62" spans="2:5" x14ac:dyDescent="0.25">
      <c r="B62" s="6" t="s">
        <v>153</v>
      </c>
      <c r="C62" s="6"/>
      <c r="D62" s="6"/>
      <c r="E62" s="6"/>
    </row>
    <row r="63" spans="2:5" x14ac:dyDescent="0.25">
      <c r="B63" s="6"/>
      <c r="C63" s="6" t="s">
        <v>125</v>
      </c>
      <c r="D63" s="11" t="s">
        <v>1014</v>
      </c>
      <c r="E63" s="6"/>
    </row>
    <row r="64" spans="2:5" x14ac:dyDescent="0.25">
      <c r="B64" s="6" t="s">
        <v>11</v>
      </c>
      <c r="C64" s="6"/>
      <c r="D64" s="6"/>
      <c r="E64" s="6"/>
    </row>
    <row r="67" spans="1:8" x14ac:dyDescent="0.25">
      <c r="A67" s="3" t="s">
        <v>1015</v>
      </c>
    </row>
    <row r="68" spans="1:8" x14ac:dyDescent="0.25">
      <c r="B68" s="4" t="s">
        <v>1016</v>
      </c>
    </row>
    <row r="70" spans="1:8" x14ac:dyDescent="0.25">
      <c r="B70" s="4" t="s">
        <v>993</v>
      </c>
    </row>
    <row r="71" spans="1:8" x14ac:dyDescent="0.25">
      <c r="B71" s="6" t="s">
        <v>391</v>
      </c>
      <c r="C71" s="6" t="s">
        <v>1017</v>
      </c>
      <c r="D71" s="6" t="s">
        <v>1018</v>
      </c>
      <c r="E71" s="6" t="s">
        <v>1019</v>
      </c>
      <c r="F71" s="7" t="s">
        <v>1018</v>
      </c>
      <c r="G71" s="7" t="s">
        <v>1020</v>
      </c>
      <c r="H71" s="7" t="s">
        <v>1021</v>
      </c>
    </row>
    <row r="72" spans="1:8" x14ac:dyDescent="0.25">
      <c r="B72" s="6" t="s">
        <v>394</v>
      </c>
      <c r="C72" s="6" t="s">
        <v>1022</v>
      </c>
      <c r="D72" s="6" t="s">
        <v>1023</v>
      </c>
      <c r="E72" s="6" t="s">
        <v>1019</v>
      </c>
      <c r="F72" s="7" t="s">
        <v>800</v>
      </c>
      <c r="G72" s="7" t="s">
        <v>1022</v>
      </c>
      <c r="H72" s="7" t="s">
        <v>1024</v>
      </c>
    </row>
    <row r="73" spans="1:8" x14ac:dyDescent="0.25">
      <c r="B73" s="6" t="s">
        <v>394</v>
      </c>
      <c r="C73" s="6" t="s">
        <v>1022</v>
      </c>
      <c r="D73" s="6" t="s">
        <v>800</v>
      </c>
      <c r="E73" s="6" t="s">
        <v>1019</v>
      </c>
      <c r="F73" s="7" t="s">
        <v>801</v>
      </c>
      <c r="G73" s="7" t="s">
        <v>1022</v>
      </c>
      <c r="H73" s="7" t="s">
        <v>1024</v>
      </c>
    </row>
    <row r="74" spans="1:8" x14ac:dyDescent="0.25">
      <c r="B74" s="6" t="s">
        <v>394</v>
      </c>
      <c r="C74" s="6" t="s">
        <v>1022</v>
      </c>
      <c r="D74" s="6" t="s">
        <v>801</v>
      </c>
      <c r="E74" s="6" t="s">
        <v>1019</v>
      </c>
      <c r="F74" s="7" t="s">
        <v>802</v>
      </c>
      <c r="G74" s="7" t="s">
        <v>1022</v>
      </c>
      <c r="H74" s="7" t="s">
        <v>1024</v>
      </c>
    </row>
    <row r="75" spans="1:8" x14ac:dyDescent="0.25">
      <c r="B75" s="6" t="s">
        <v>394</v>
      </c>
      <c r="C75" s="6" t="s">
        <v>1022</v>
      </c>
      <c r="D75" s="6" t="s">
        <v>802</v>
      </c>
      <c r="E75" s="6" t="s">
        <v>1019</v>
      </c>
      <c r="F75" s="7" t="s">
        <v>802</v>
      </c>
      <c r="G75" s="7" t="s">
        <v>1022</v>
      </c>
      <c r="H75" s="7" t="s">
        <v>1022</v>
      </c>
    </row>
    <row r="76" spans="1:8" x14ac:dyDescent="0.25">
      <c r="B76" s="6" t="s">
        <v>394</v>
      </c>
      <c r="C76" s="6" t="s">
        <v>1022</v>
      </c>
      <c r="D76" s="6" t="s">
        <v>803</v>
      </c>
      <c r="E76" s="6" t="s">
        <v>1019</v>
      </c>
      <c r="F76" s="7" t="s">
        <v>802</v>
      </c>
      <c r="G76" s="7" t="s">
        <v>1022</v>
      </c>
      <c r="H76" s="7" t="s">
        <v>1022</v>
      </c>
    </row>
    <row r="77" spans="1:8" x14ac:dyDescent="0.25">
      <c r="B77" s="6" t="s">
        <v>394</v>
      </c>
      <c r="C77" s="6" t="s">
        <v>1022</v>
      </c>
      <c r="D77" s="6" t="s">
        <v>804</v>
      </c>
      <c r="E77" s="6" t="s">
        <v>1019</v>
      </c>
      <c r="F77" s="7" t="s">
        <v>804</v>
      </c>
      <c r="G77" s="7" t="s">
        <v>1024</v>
      </c>
      <c r="H77" s="7" t="s">
        <v>1024</v>
      </c>
    </row>
    <row r="78" spans="1:8" x14ac:dyDescent="0.25">
      <c r="B78" s="6" t="s">
        <v>394</v>
      </c>
      <c r="C78" s="6" t="s">
        <v>1022</v>
      </c>
      <c r="D78" s="6" t="s">
        <v>805</v>
      </c>
      <c r="E78" s="6" t="s">
        <v>1019</v>
      </c>
      <c r="F78" s="7" t="s">
        <v>805</v>
      </c>
      <c r="G78" s="7" t="s">
        <v>1024</v>
      </c>
      <c r="H78" s="7" t="s">
        <v>1024</v>
      </c>
    </row>
    <row r="79" spans="1:8" x14ac:dyDescent="0.25">
      <c r="B79" s="6" t="s">
        <v>394</v>
      </c>
      <c r="C79" s="6" t="s">
        <v>1022</v>
      </c>
      <c r="D79" s="6" t="s">
        <v>806</v>
      </c>
      <c r="E79" s="6" t="s">
        <v>1019</v>
      </c>
      <c r="F79" s="7" t="s">
        <v>806</v>
      </c>
      <c r="G79" s="7" t="s">
        <v>1024</v>
      </c>
      <c r="H79" s="7" t="s">
        <v>1024</v>
      </c>
    </row>
    <row r="80" spans="1:8" x14ac:dyDescent="0.25">
      <c r="B80" s="6" t="s">
        <v>394</v>
      </c>
      <c r="C80" s="6" t="s">
        <v>1024</v>
      </c>
      <c r="D80" s="6" t="s">
        <v>1023</v>
      </c>
      <c r="E80" s="6" t="s">
        <v>1019</v>
      </c>
      <c r="F80" s="7" t="s">
        <v>800</v>
      </c>
      <c r="G80" s="7" t="s">
        <v>1022</v>
      </c>
      <c r="H80" s="7" t="s">
        <v>1024</v>
      </c>
    </row>
    <row r="81" spans="1:10" x14ac:dyDescent="0.25">
      <c r="B81" s="6" t="s">
        <v>394</v>
      </c>
      <c r="C81" s="6" t="s">
        <v>1024</v>
      </c>
      <c r="D81" s="6" t="s">
        <v>800</v>
      </c>
      <c r="E81" s="6" t="s">
        <v>1019</v>
      </c>
      <c r="F81" s="7" t="s">
        <v>801</v>
      </c>
      <c r="G81" s="7" t="s">
        <v>1022</v>
      </c>
      <c r="H81" s="7" t="s">
        <v>1024</v>
      </c>
    </row>
    <row r="82" spans="1:10" x14ac:dyDescent="0.25">
      <c r="B82" s="6" t="s">
        <v>394</v>
      </c>
      <c r="C82" s="6" t="s">
        <v>1024</v>
      </c>
      <c r="D82" s="6" t="s">
        <v>801</v>
      </c>
      <c r="E82" s="6" t="s">
        <v>1019</v>
      </c>
      <c r="F82" s="7" t="s">
        <v>1023</v>
      </c>
      <c r="G82" s="7" t="s">
        <v>1022</v>
      </c>
      <c r="H82" s="7" t="s">
        <v>1024</v>
      </c>
    </row>
    <row r="83" spans="1:10" x14ac:dyDescent="0.25">
      <c r="B83" s="6" t="s">
        <v>394</v>
      </c>
      <c r="C83" s="6" t="s">
        <v>1024</v>
      </c>
      <c r="D83" s="6" t="s">
        <v>802</v>
      </c>
      <c r="E83" s="6" t="s">
        <v>1019</v>
      </c>
      <c r="F83" s="7" t="s">
        <v>803</v>
      </c>
      <c r="G83" s="7" t="s">
        <v>1022</v>
      </c>
      <c r="H83" s="7" t="s">
        <v>1022</v>
      </c>
    </row>
    <row r="84" spans="1:10" x14ac:dyDescent="0.25">
      <c r="B84" s="6" t="s">
        <v>394</v>
      </c>
      <c r="C84" s="6" t="s">
        <v>1024</v>
      </c>
      <c r="D84" s="6" t="s">
        <v>803</v>
      </c>
      <c r="E84" s="6" t="s">
        <v>1019</v>
      </c>
      <c r="F84" s="7" t="s">
        <v>1023</v>
      </c>
      <c r="G84" s="7" t="s">
        <v>1022</v>
      </c>
      <c r="H84" s="7" t="s">
        <v>1022</v>
      </c>
    </row>
    <row r="85" spans="1:10" x14ac:dyDescent="0.25">
      <c r="B85" s="6" t="s">
        <v>394</v>
      </c>
      <c r="C85" s="6" t="s">
        <v>1024</v>
      </c>
      <c r="D85" s="6" t="s">
        <v>804</v>
      </c>
      <c r="E85" s="6" t="s">
        <v>1019</v>
      </c>
      <c r="F85" s="7" t="s">
        <v>804</v>
      </c>
      <c r="G85" s="7" t="s">
        <v>1024</v>
      </c>
      <c r="H85" s="7" t="s">
        <v>1024</v>
      </c>
    </row>
    <row r="86" spans="1:10" x14ac:dyDescent="0.25">
      <c r="B86" s="6" t="s">
        <v>394</v>
      </c>
      <c r="C86" s="6" t="s">
        <v>1024</v>
      </c>
      <c r="D86" s="6" t="s">
        <v>805</v>
      </c>
      <c r="E86" s="6" t="s">
        <v>1019</v>
      </c>
      <c r="F86" s="7" t="s">
        <v>805</v>
      </c>
      <c r="G86" s="7" t="s">
        <v>1024</v>
      </c>
      <c r="H86" s="7" t="s">
        <v>1024</v>
      </c>
    </row>
    <row r="87" spans="1:10" x14ac:dyDescent="0.25">
      <c r="B87" s="6" t="s">
        <v>394</v>
      </c>
      <c r="C87" s="6" t="s">
        <v>1024</v>
      </c>
      <c r="D87" s="6" t="s">
        <v>806</v>
      </c>
      <c r="E87" s="6" t="s">
        <v>1019</v>
      </c>
      <c r="F87" s="7" t="s">
        <v>806</v>
      </c>
      <c r="G87" s="7" t="s">
        <v>1024</v>
      </c>
      <c r="H87" s="7" t="s">
        <v>1024</v>
      </c>
    </row>
    <row r="88" spans="1:10" x14ac:dyDescent="0.25">
      <c r="B88" s="6" t="s">
        <v>394</v>
      </c>
      <c r="C88" s="6" t="s">
        <v>1025</v>
      </c>
      <c r="D88" s="6"/>
      <c r="E88" s="6" t="s">
        <v>1019</v>
      </c>
      <c r="F88" s="7" t="s">
        <v>1026</v>
      </c>
      <c r="G88" s="7" t="s">
        <v>1027</v>
      </c>
      <c r="H88" s="7" t="s">
        <v>1027</v>
      </c>
    </row>
    <row r="91" spans="1:10" x14ac:dyDescent="0.25">
      <c r="A91" s="3" t="s">
        <v>1028</v>
      </c>
    </row>
    <row r="92" spans="1:10" x14ac:dyDescent="0.25">
      <c r="B92" s="40" t="s">
        <v>388</v>
      </c>
      <c r="C92" s="40" t="s">
        <v>1029</v>
      </c>
      <c r="D92" s="6"/>
      <c r="E92" s="6"/>
      <c r="F92" s="7"/>
      <c r="G92" s="7"/>
      <c r="H92" s="7"/>
    </row>
    <row r="93" spans="1:10" x14ac:dyDescent="0.25">
      <c r="B93" s="6" t="s">
        <v>21</v>
      </c>
      <c r="C93" s="6" t="s">
        <v>989</v>
      </c>
      <c r="D93" s="6" t="s">
        <v>989</v>
      </c>
      <c r="E93" s="6"/>
      <c r="F93" s="7" t="s">
        <v>399</v>
      </c>
      <c r="G93" s="7" t="s">
        <v>399</v>
      </c>
      <c r="H93" s="7" t="s">
        <v>399</v>
      </c>
    </row>
    <row r="94" spans="1:10" x14ac:dyDescent="0.25">
      <c r="B94" s="6" t="s">
        <v>391</v>
      </c>
      <c r="C94" s="6" t="s">
        <v>1017</v>
      </c>
      <c r="D94" s="6" t="s">
        <v>1018</v>
      </c>
      <c r="E94" s="6" t="s">
        <v>1019</v>
      </c>
      <c r="F94" s="7" t="s">
        <v>1030</v>
      </c>
      <c r="G94" s="7" t="s">
        <v>1031</v>
      </c>
      <c r="H94" s="7" t="s">
        <v>1032</v>
      </c>
    </row>
    <row r="95" spans="1:10" x14ac:dyDescent="0.25">
      <c r="B95" s="6" t="s">
        <v>394</v>
      </c>
      <c r="C95" s="6" t="s">
        <v>1022</v>
      </c>
      <c r="D95" s="6" t="s">
        <v>1023</v>
      </c>
      <c r="E95" s="6" t="s">
        <v>1019</v>
      </c>
      <c r="F95" s="7" t="s">
        <v>800</v>
      </c>
      <c r="G95" s="7" t="s">
        <v>1022</v>
      </c>
      <c r="H95" s="7" t="s">
        <v>1024</v>
      </c>
    </row>
    <row r="96" spans="1:10" x14ac:dyDescent="0.25">
      <c r="B96" s="2" t="s">
        <v>1033</v>
      </c>
      <c r="C96" s="3"/>
      <c r="D96" s="3"/>
      <c r="E96" s="3"/>
      <c r="F96" s="3"/>
      <c r="G96" s="3"/>
      <c r="H96" s="3"/>
      <c r="I96" s="3"/>
      <c r="J96" s="3"/>
    </row>
    <row r="97" spans="1:10" x14ac:dyDescent="0.25">
      <c r="B97" s="6" t="s">
        <v>394</v>
      </c>
      <c r="C97" s="6" t="s">
        <v>1024</v>
      </c>
      <c r="D97" s="6" t="s">
        <v>806</v>
      </c>
      <c r="E97" s="6" t="s">
        <v>1019</v>
      </c>
      <c r="F97" s="7" t="s">
        <v>806</v>
      </c>
      <c r="G97" s="7" t="s">
        <v>1024</v>
      </c>
      <c r="H97" s="7" t="s">
        <v>1024</v>
      </c>
      <c r="I97" s="3"/>
      <c r="J97" s="3"/>
    </row>
    <row r="98" spans="1:10" x14ac:dyDescent="0.25">
      <c r="B98" s="6" t="s">
        <v>394</v>
      </c>
      <c r="C98" s="6" t="s">
        <v>1025</v>
      </c>
      <c r="D98" s="6"/>
      <c r="E98" s="6" t="s">
        <v>1019</v>
      </c>
      <c r="F98" s="7" t="s">
        <v>1026</v>
      </c>
      <c r="G98" s="7" t="s">
        <v>1027</v>
      </c>
      <c r="H98" s="7" t="s">
        <v>1027</v>
      </c>
      <c r="I98" s="3"/>
      <c r="J98" s="3"/>
    </row>
    <row r="99" spans="1:10" x14ac:dyDescent="0.25">
      <c r="I99" s="3"/>
      <c r="J99" s="3"/>
    </row>
    <row r="100" spans="1:10" x14ac:dyDescent="0.25">
      <c r="B100" s="40" t="s">
        <v>388</v>
      </c>
      <c r="C100" s="40" t="s">
        <v>807</v>
      </c>
      <c r="D100" s="6"/>
      <c r="E100" s="6"/>
      <c r="F100" s="7"/>
      <c r="G100" s="7"/>
      <c r="H100" s="7"/>
      <c r="I100" s="3"/>
      <c r="J100" s="3"/>
    </row>
    <row r="101" spans="1:10" x14ac:dyDescent="0.25">
      <c r="B101" s="6" t="s">
        <v>21</v>
      </c>
      <c r="C101" s="6" t="s">
        <v>989</v>
      </c>
      <c r="D101" s="6" t="s">
        <v>989</v>
      </c>
      <c r="E101" s="6"/>
      <c r="F101" s="7" t="s">
        <v>399</v>
      </c>
      <c r="G101" s="7" t="s">
        <v>399</v>
      </c>
      <c r="H101" s="7" t="s">
        <v>399</v>
      </c>
      <c r="I101" s="3"/>
      <c r="J101" s="3"/>
    </row>
    <row r="102" spans="1:10" x14ac:dyDescent="0.25">
      <c r="B102" s="6" t="s">
        <v>391</v>
      </c>
      <c r="C102" s="6" t="s">
        <v>1017</v>
      </c>
      <c r="D102" s="6" t="s">
        <v>1018</v>
      </c>
      <c r="E102" s="6" t="s">
        <v>1019</v>
      </c>
      <c r="F102" s="7" t="s">
        <v>1030</v>
      </c>
      <c r="G102" s="7" t="s">
        <v>1031</v>
      </c>
      <c r="H102" s="7" t="s">
        <v>1032</v>
      </c>
      <c r="I102" s="3"/>
      <c r="J102" s="3"/>
    </row>
    <row r="103" spans="1:10" x14ac:dyDescent="0.25">
      <c r="B103" s="6" t="s">
        <v>394</v>
      </c>
      <c r="C103" s="6" t="s">
        <v>1022</v>
      </c>
      <c r="D103" s="6" t="s">
        <v>1023</v>
      </c>
      <c r="E103" s="6" t="s">
        <v>1019</v>
      </c>
      <c r="F103" s="7" t="s">
        <v>800</v>
      </c>
      <c r="G103" s="7" t="s">
        <v>1022</v>
      </c>
      <c r="H103" s="7" t="s">
        <v>1024</v>
      </c>
      <c r="I103" s="3"/>
      <c r="J103" s="3"/>
    </row>
    <row r="104" spans="1:10" x14ac:dyDescent="0.25">
      <c r="B104" s="2" t="s">
        <v>1033</v>
      </c>
      <c r="C104" s="3"/>
      <c r="D104" s="3"/>
      <c r="E104" s="3"/>
      <c r="F104" s="3"/>
      <c r="G104" s="3"/>
      <c r="H104" s="3"/>
      <c r="I104" s="3"/>
      <c r="J104" s="3"/>
    </row>
    <row r="105" spans="1:10" x14ac:dyDescent="0.25">
      <c r="B105" s="6" t="s">
        <v>394</v>
      </c>
      <c r="C105" s="6" t="s">
        <v>1024</v>
      </c>
      <c r="D105" s="6" t="s">
        <v>806</v>
      </c>
      <c r="E105" s="6" t="s">
        <v>1019</v>
      </c>
      <c r="F105" s="7" t="s">
        <v>806</v>
      </c>
      <c r="G105" s="7" t="s">
        <v>1024</v>
      </c>
      <c r="H105" s="7" t="s">
        <v>1024</v>
      </c>
      <c r="I105" s="3"/>
      <c r="J105" s="3"/>
    </row>
    <row r="106" spans="1:10" x14ac:dyDescent="0.25">
      <c r="B106" s="6" t="s">
        <v>394</v>
      </c>
      <c r="C106" s="6" t="s">
        <v>1025</v>
      </c>
      <c r="D106" s="6"/>
      <c r="E106" s="6" t="s">
        <v>1019</v>
      </c>
      <c r="F106" s="7" t="s">
        <v>1026</v>
      </c>
      <c r="G106" s="7" t="s">
        <v>1027</v>
      </c>
      <c r="H106" s="7" t="s">
        <v>1027</v>
      </c>
      <c r="I106" s="3"/>
      <c r="J106" s="3"/>
    </row>
    <row r="107" spans="1:10" x14ac:dyDescent="0.25">
      <c r="B107" s="3"/>
      <c r="C107" s="3"/>
      <c r="D107" s="3"/>
      <c r="E107" s="3"/>
      <c r="F107" s="3"/>
      <c r="G107" s="3"/>
      <c r="H107" s="3"/>
      <c r="I107" s="3"/>
      <c r="J107" s="3"/>
    </row>
    <row r="108" spans="1:10" x14ac:dyDescent="0.25">
      <c r="B108" s="3"/>
      <c r="C108" s="3"/>
      <c r="D108" s="3"/>
      <c r="E108" s="3"/>
      <c r="F108" s="3"/>
      <c r="G108" s="3"/>
      <c r="H108" s="3"/>
      <c r="I108" s="3"/>
      <c r="J108" s="3"/>
    </row>
    <row r="109" spans="1:10" x14ac:dyDescent="0.25">
      <c r="A109" s="3" t="s">
        <v>1036</v>
      </c>
      <c r="B109" s="3"/>
      <c r="C109" s="3"/>
      <c r="D109" s="3"/>
      <c r="E109" s="3"/>
      <c r="F109" s="3"/>
      <c r="G109" s="3"/>
      <c r="H109" s="3"/>
      <c r="I109" s="3"/>
      <c r="J109" s="3"/>
    </row>
    <row r="110" spans="1:10" x14ac:dyDescent="0.25">
      <c r="B110" s="6" t="s">
        <v>388</v>
      </c>
      <c r="C110" s="6" t="s">
        <v>1034</v>
      </c>
      <c r="D110" s="6"/>
      <c r="E110" s="6"/>
      <c r="F110" s="7"/>
      <c r="G110" s="7"/>
      <c r="H110" s="7"/>
    </row>
    <row r="111" spans="1:10" x14ac:dyDescent="0.25">
      <c r="B111" s="40" t="s">
        <v>385</v>
      </c>
      <c r="C111" s="40" t="s">
        <v>1035</v>
      </c>
      <c r="D111" s="6"/>
      <c r="E111" s="6"/>
      <c r="F111" s="7"/>
      <c r="G111" s="7"/>
      <c r="H111" s="7"/>
    </row>
    <row r="112" spans="1:10" x14ac:dyDescent="0.25">
      <c r="B112" s="6" t="s">
        <v>21</v>
      </c>
      <c r="C112" s="6" t="s">
        <v>989</v>
      </c>
      <c r="D112" s="6" t="s">
        <v>989</v>
      </c>
      <c r="E112" s="6"/>
      <c r="F112" s="7" t="s">
        <v>399</v>
      </c>
      <c r="G112" s="7" t="s">
        <v>399</v>
      </c>
      <c r="H112" s="7" t="s">
        <v>399</v>
      </c>
    </row>
    <row r="113" spans="1:8" x14ac:dyDescent="0.25">
      <c r="B113" s="6" t="s">
        <v>391</v>
      </c>
      <c r="C113" s="6" t="s">
        <v>1017</v>
      </c>
      <c r="D113" s="6" t="s">
        <v>1018</v>
      </c>
      <c r="E113" s="6" t="s">
        <v>1019</v>
      </c>
      <c r="F113" s="7" t="s">
        <v>1030</v>
      </c>
      <c r="G113" s="7" t="s">
        <v>1031</v>
      </c>
      <c r="H113" s="7" t="s">
        <v>1032</v>
      </c>
    </row>
    <row r="114" spans="1:8" x14ac:dyDescent="0.25">
      <c r="B114" s="6" t="s">
        <v>394</v>
      </c>
      <c r="C114" s="6" t="s">
        <v>1022</v>
      </c>
      <c r="D114" s="6" t="s">
        <v>1023</v>
      </c>
      <c r="E114" s="6" t="s">
        <v>1019</v>
      </c>
      <c r="F114" s="7" t="s">
        <v>800</v>
      </c>
      <c r="G114" s="7" t="s">
        <v>1022</v>
      </c>
      <c r="H114" s="7" t="s">
        <v>1024</v>
      </c>
    </row>
    <row r="115" spans="1:8" x14ac:dyDescent="0.25">
      <c r="B115" s="2" t="s">
        <v>1033</v>
      </c>
      <c r="C115" s="3"/>
      <c r="D115" s="3"/>
      <c r="E115" s="3"/>
      <c r="F115" s="3"/>
      <c r="G115" s="3"/>
      <c r="H115" s="3"/>
    </row>
    <row r="116" spans="1:8" x14ac:dyDescent="0.25">
      <c r="B116" s="6" t="s">
        <v>394</v>
      </c>
      <c r="C116" s="6" t="s">
        <v>1024</v>
      </c>
      <c r="D116" s="6" t="s">
        <v>806</v>
      </c>
      <c r="E116" s="6" t="s">
        <v>1019</v>
      </c>
      <c r="F116" s="7" t="s">
        <v>806</v>
      </c>
      <c r="G116" s="7" t="s">
        <v>1024</v>
      </c>
      <c r="H116" s="7" t="s">
        <v>1024</v>
      </c>
    </row>
    <row r="117" spans="1:8" x14ac:dyDescent="0.25">
      <c r="B117" s="6" t="s">
        <v>394</v>
      </c>
      <c r="C117" s="6" t="s">
        <v>1025</v>
      </c>
      <c r="D117" s="6"/>
      <c r="E117" s="6" t="s">
        <v>1019</v>
      </c>
      <c r="F117" s="7" t="s">
        <v>1026</v>
      </c>
      <c r="G117" s="7" t="s">
        <v>1027</v>
      </c>
      <c r="H117" s="7" t="s">
        <v>1027</v>
      </c>
    </row>
    <row r="120" spans="1:8" x14ac:dyDescent="0.25">
      <c r="A120" s="3" t="s">
        <v>1037</v>
      </c>
    </row>
    <row r="121" spans="1:8" x14ac:dyDescent="0.25">
      <c r="B121" s="4" t="s">
        <v>1038</v>
      </c>
    </row>
    <row r="122" spans="1:8" x14ac:dyDescent="0.25">
      <c r="B122" s="4" t="s">
        <v>1039</v>
      </c>
    </row>
    <row r="123" spans="1:8" x14ac:dyDescent="0.25">
      <c r="B123" s="4" t="s">
        <v>1040</v>
      </c>
    </row>
    <row r="124" spans="1:8" x14ac:dyDescent="0.25">
      <c r="B124" s="4" t="s">
        <v>1041</v>
      </c>
    </row>
    <row r="125" spans="1:8" x14ac:dyDescent="0.25">
      <c r="B125" s="4" t="s">
        <v>1042</v>
      </c>
    </row>
  </sheetData>
  <phoneticPr fontId="1"/>
  <pageMargins left="0.75" right="0.35" top="1" bottom="1" header="0.51200000000000001" footer="0.51200000000000001"/>
  <pageSetup paperSize="9" scale="8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D7AB-6DF9-4D1F-9374-0055C0595306}">
  <dimension ref="A1:F62"/>
  <sheetViews>
    <sheetView topLeftCell="A39" zoomScaleNormal="100" workbookViewId="0">
      <selection activeCell="D65" sqref="D65"/>
    </sheetView>
  </sheetViews>
  <sheetFormatPr defaultRowHeight="15.75" x14ac:dyDescent="0.25"/>
  <cols>
    <col min="1" max="1" width="3.25" style="3" customWidth="1"/>
    <col min="2" max="2" width="25.625" style="4" customWidth="1"/>
    <col min="3" max="3" width="39.875" style="4" customWidth="1"/>
    <col min="4" max="4" width="5.875" style="4" bestFit="1" customWidth="1"/>
    <col min="5" max="5" width="10.375" style="4" bestFit="1" customWidth="1"/>
    <col min="6" max="6" width="11.625" style="4" bestFit="1" customWidth="1"/>
    <col min="7" max="16384" width="9" style="2"/>
  </cols>
  <sheetData>
    <row r="1" spans="1:6" s="3" customFormat="1" ht="19.5" x14ac:dyDescent="0.3">
      <c r="A1" s="1" t="s">
        <v>1043</v>
      </c>
      <c r="B1" s="4"/>
      <c r="C1" s="4"/>
      <c r="D1" s="4"/>
      <c r="E1" s="4"/>
      <c r="F1" s="5"/>
    </row>
    <row r="2" spans="1:6" s="3" customFormat="1" ht="19.5" x14ac:dyDescent="0.3">
      <c r="A2" s="1"/>
      <c r="B2" s="4"/>
      <c r="C2" s="4"/>
      <c r="D2" s="4"/>
      <c r="E2" s="4"/>
      <c r="F2" s="5"/>
    </row>
    <row r="3" spans="1:6" x14ac:dyDescent="0.25">
      <c r="A3" s="3" t="s">
        <v>1046</v>
      </c>
    </row>
    <row r="4" spans="1:6" x14ac:dyDescent="0.25">
      <c r="B4" s="4" t="s">
        <v>1044</v>
      </c>
    </row>
    <row r="5" spans="1:6" x14ac:dyDescent="0.25">
      <c r="B5" s="4" t="s">
        <v>1045</v>
      </c>
    </row>
    <row r="7" spans="1:6" x14ac:dyDescent="0.25">
      <c r="B7" s="2" t="s">
        <v>821</v>
      </c>
      <c r="C7" s="2"/>
      <c r="D7" s="2"/>
      <c r="E7" s="2"/>
      <c r="F7" s="2"/>
    </row>
    <row r="8" spans="1:6" x14ac:dyDescent="0.25">
      <c r="B8" s="7" t="s">
        <v>68</v>
      </c>
      <c r="C8" s="7" t="s">
        <v>808</v>
      </c>
      <c r="D8" s="2"/>
      <c r="E8" s="2"/>
      <c r="F8" s="2"/>
    </row>
    <row r="9" spans="1:6" x14ac:dyDescent="0.25">
      <c r="B9" s="2"/>
      <c r="C9" s="2"/>
      <c r="D9" s="2"/>
      <c r="E9" s="2"/>
      <c r="F9" s="2"/>
    </row>
    <row r="10" spans="1:6" x14ac:dyDescent="0.25">
      <c r="B10" s="2" t="s">
        <v>981</v>
      </c>
      <c r="C10" s="2"/>
      <c r="D10" s="2"/>
      <c r="E10" s="2"/>
      <c r="F10" s="2"/>
    </row>
    <row r="11" spans="1:6" x14ac:dyDescent="0.25">
      <c r="B11" s="2" t="s">
        <v>808</v>
      </c>
      <c r="D11" s="2"/>
      <c r="E11" s="2"/>
      <c r="F11" s="2"/>
    </row>
    <row r="14" spans="1:6" x14ac:dyDescent="0.25">
      <c r="A14" s="3" t="s">
        <v>1047</v>
      </c>
    </row>
    <row r="15" spans="1:6" x14ac:dyDescent="0.25">
      <c r="B15" s="4" t="s">
        <v>1048</v>
      </c>
    </row>
    <row r="16" spans="1:6" x14ac:dyDescent="0.25">
      <c r="B16" s="4" t="s">
        <v>1049</v>
      </c>
    </row>
    <row r="18" spans="1:3" x14ac:dyDescent="0.25">
      <c r="B18" s="4" t="s">
        <v>821</v>
      </c>
    </row>
    <row r="19" spans="1:3" x14ac:dyDescent="0.25">
      <c r="B19" s="6" t="s">
        <v>405</v>
      </c>
      <c r="C19" s="6" t="s">
        <v>1050</v>
      </c>
    </row>
    <row r="20" spans="1:3" x14ac:dyDescent="0.25">
      <c r="B20" s="6" t="s">
        <v>405</v>
      </c>
      <c r="C20" s="6" t="s">
        <v>1051</v>
      </c>
    </row>
    <row r="21" spans="1:3" x14ac:dyDescent="0.25">
      <c r="B21" s="6" t="s">
        <v>405</v>
      </c>
      <c r="C21" s="6" t="s">
        <v>1052</v>
      </c>
    </row>
    <row r="23" spans="1:3" x14ac:dyDescent="0.25">
      <c r="B23" s="2" t="s">
        <v>981</v>
      </c>
    </row>
    <row r="24" spans="1:3" x14ac:dyDescent="0.25">
      <c r="B24" s="4" t="s">
        <v>1050</v>
      </c>
    </row>
    <row r="25" spans="1:3" x14ac:dyDescent="0.25">
      <c r="B25" s="4" t="s">
        <v>1051</v>
      </c>
    </row>
    <row r="26" spans="1:3" x14ac:dyDescent="0.25">
      <c r="B26" s="4" t="s">
        <v>1052</v>
      </c>
    </row>
    <row r="29" spans="1:3" x14ac:dyDescent="0.25">
      <c r="A29" s="3" t="s">
        <v>1053</v>
      </c>
    </row>
    <row r="30" spans="1:3" x14ac:dyDescent="0.25">
      <c r="B30" s="4" t="s">
        <v>1054</v>
      </c>
    </row>
    <row r="31" spans="1:3" x14ac:dyDescent="0.25">
      <c r="B31" s="6" t="s">
        <v>451</v>
      </c>
      <c r="C31" s="6" t="s">
        <v>322</v>
      </c>
    </row>
    <row r="32" spans="1:3" x14ac:dyDescent="0.25">
      <c r="B32" s="6" t="s">
        <v>407</v>
      </c>
      <c r="C32" s="6" t="s">
        <v>408</v>
      </c>
    </row>
    <row r="33" spans="1:6" x14ac:dyDescent="0.25">
      <c r="B33" s="6" t="s">
        <v>409</v>
      </c>
      <c r="C33" s="6" t="s">
        <v>1055</v>
      </c>
    </row>
    <row r="34" spans="1:6" x14ac:dyDescent="0.25">
      <c r="B34" s="6" t="s">
        <v>411</v>
      </c>
      <c r="C34" s="6" t="s">
        <v>1056</v>
      </c>
    </row>
    <row r="36" spans="1:6" x14ac:dyDescent="0.25">
      <c r="B36" s="4" t="s">
        <v>1057</v>
      </c>
    </row>
    <row r="37" spans="1:6" x14ac:dyDescent="0.25">
      <c r="B37" s="4" t="s">
        <v>1058</v>
      </c>
    </row>
    <row r="40" spans="1:6" x14ac:dyDescent="0.25">
      <c r="A40" s="3" t="s">
        <v>1071</v>
      </c>
    </row>
    <row r="42" spans="1:6" x14ac:dyDescent="0.25">
      <c r="B42" s="4" t="s">
        <v>1065</v>
      </c>
    </row>
    <row r="43" spans="1:6" x14ac:dyDescent="0.25">
      <c r="B43" s="6" t="s">
        <v>1059</v>
      </c>
      <c r="C43" s="6" t="s">
        <v>1060</v>
      </c>
      <c r="D43" s="6"/>
      <c r="E43" s="6"/>
    </row>
    <row r="44" spans="1:6" x14ac:dyDescent="0.25">
      <c r="B44" s="6" t="s">
        <v>230</v>
      </c>
      <c r="C44" s="6" t="s">
        <v>1061</v>
      </c>
      <c r="D44" s="6" t="s">
        <v>1062</v>
      </c>
      <c r="E44" s="6" t="s">
        <v>1063</v>
      </c>
    </row>
    <row r="45" spans="1:6" x14ac:dyDescent="0.25">
      <c r="B45" s="6" t="s">
        <v>402</v>
      </c>
      <c r="C45" s="6" t="s">
        <v>1064</v>
      </c>
      <c r="D45" s="6"/>
      <c r="E45" s="6"/>
    </row>
    <row r="47" spans="1:6" x14ac:dyDescent="0.25">
      <c r="B47" s="4" t="s">
        <v>1067</v>
      </c>
    </row>
    <row r="48" spans="1:6" x14ac:dyDescent="0.25">
      <c r="B48" s="7" t="s">
        <v>197</v>
      </c>
      <c r="C48" s="7" t="s">
        <v>809</v>
      </c>
      <c r="D48" s="7" t="s">
        <v>46</v>
      </c>
      <c r="E48" s="7">
        <v>32</v>
      </c>
      <c r="F48" s="7" t="s">
        <v>810</v>
      </c>
    </row>
    <row r="49" spans="1:6" x14ac:dyDescent="0.25">
      <c r="B49" s="7" t="s">
        <v>197</v>
      </c>
      <c r="C49" s="7" t="s">
        <v>809</v>
      </c>
      <c r="D49" s="7" t="s">
        <v>644</v>
      </c>
      <c r="E49" s="7">
        <v>1</v>
      </c>
      <c r="F49" s="7" t="s">
        <v>811</v>
      </c>
    </row>
    <row r="50" spans="1:6" x14ac:dyDescent="0.25">
      <c r="B50" s="7" t="s">
        <v>197</v>
      </c>
      <c r="C50" s="7" t="s">
        <v>809</v>
      </c>
      <c r="D50" s="7" t="s">
        <v>645</v>
      </c>
      <c r="E50" s="7">
        <v>2</v>
      </c>
      <c r="F50" s="7" t="s">
        <v>812</v>
      </c>
    </row>
    <row r="52" spans="1:6" x14ac:dyDescent="0.25">
      <c r="B52" s="2" t="s">
        <v>981</v>
      </c>
    </row>
    <row r="53" spans="1:6" x14ac:dyDescent="0.25">
      <c r="B53" s="4" t="s">
        <v>1068</v>
      </c>
    </row>
    <row r="54" spans="1:6" x14ac:dyDescent="0.25">
      <c r="B54" s="4" t="s">
        <v>1069</v>
      </c>
    </row>
    <row r="55" spans="1:6" x14ac:dyDescent="0.25">
      <c r="B55" s="4" t="s">
        <v>1070</v>
      </c>
    </row>
    <row r="58" spans="1:6" x14ac:dyDescent="0.25">
      <c r="A58" s="3" t="s">
        <v>1072</v>
      </c>
    </row>
    <row r="59" spans="1:6" x14ac:dyDescent="0.25">
      <c r="B59" s="4" t="s">
        <v>1073</v>
      </c>
    </row>
    <row r="60" spans="1:6" x14ac:dyDescent="0.25">
      <c r="B60" s="4" t="s">
        <v>1074</v>
      </c>
    </row>
    <row r="61" spans="1:6" x14ac:dyDescent="0.25">
      <c r="B61" s="4" t="s">
        <v>1075</v>
      </c>
    </row>
    <row r="62" spans="1:6" x14ac:dyDescent="0.25">
      <c r="B62" s="4" t="s">
        <v>1076</v>
      </c>
    </row>
  </sheetData>
  <phoneticPr fontId="1"/>
  <pageMargins left="0.75" right="0.35" top="1" bottom="1" header="0.51200000000000001" footer="0.51200000000000001"/>
  <pageSetup paperSize="9" scale="8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A3E2-34BE-48B8-921E-933A6FDC50F9}">
  <dimension ref="A1:H63"/>
  <sheetViews>
    <sheetView zoomScaleNormal="100" workbookViewId="0">
      <selection activeCell="I60" sqref="I60"/>
    </sheetView>
  </sheetViews>
  <sheetFormatPr defaultRowHeight="15.75" x14ac:dyDescent="0.25"/>
  <cols>
    <col min="1" max="1" width="3.25" style="3" customWidth="1"/>
    <col min="2" max="2" width="16" style="4" customWidth="1"/>
    <col min="3" max="3" width="46" style="4" customWidth="1"/>
    <col min="4" max="4" width="12.25" style="4" customWidth="1"/>
    <col min="5" max="5" width="11.25" style="4" bestFit="1" customWidth="1"/>
    <col min="6" max="6" width="10.375" style="4" bestFit="1" customWidth="1"/>
    <col min="7" max="7" width="7.375" style="2" bestFit="1" customWidth="1"/>
    <col min="8" max="8" width="13.25" style="2" bestFit="1" customWidth="1"/>
    <col min="9" max="16384" width="9" style="2"/>
  </cols>
  <sheetData>
    <row r="1" spans="1:8" s="3" customFormat="1" ht="19.5" x14ac:dyDescent="0.3">
      <c r="A1" s="1" t="s">
        <v>534</v>
      </c>
      <c r="B1" s="4"/>
      <c r="C1" s="4"/>
      <c r="D1" s="4"/>
      <c r="E1" s="4"/>
      <c r="F1" s="5"/>
    </row>
    <row r="2" spans="1:8" x14ac:dyDescent="0.25">
      <c r="B2" s="4" t="s">
        <v>1078</v>
      </c>
    </row>
    <row r="4" spans="1:8" x14ac:dyDescent="0.25">
      <c r="A4" s="3" t="s">
        <v>1093</v>
      </c>
    </row>
    <row r="5" spans="1:8" x14ac:dyDescent="0.25">
      <c r="B5" s="4" t="s">
        <v>1079</v>
      </c>
    </row>
    <row r="6" spans="1:8" x14ac:dyDescent="0.25">
      <c r="B6" s="11" t="s">
        <v>1077</v>
      </c>
      <c r="C6" s="11" t="s">
        <v>57</v>
      </c>
      <c r="D6" s="11" t="s">
        <v>58</v>
      </c>
      <c r="E6" s="11" t="s">
        <v>59</v>
      </c>
      <c r="F6" s="11" t="s">
        <v>60</v>
      </c>
      <c r="G6" s="11" t="s">
        <v>61</v>
      </c>
      <c r="H6" s="11" t="s">
        <v>62</v>
      </c>
    </row>
    <row r="8" spans="1:8" x14ac:dyDescent="0.25">
      <c r="B8" s="4" t="s">
        <v>1066</v>
      </c>
    </row>
    <row r="9" spans="1:8" x14ac:dyDescent="0.25">
      <c r="B9" s="12" t="s">
        <v>19</v>
      </c>
      <c r="C9" s="12" t="s">
        <v>57</v>
      </c>
      <c r="D9" s="12" t="s">
        <v>58</v>
      </c>
      <c r="E9" s="12" t="s">
        <v>59</v>
      </c>
      <c r="F9" s="12" t="s">
        <v>60</v>
      </c>
      <c r="G9" s="12" t="s">
        <v>61</v>
      </c>
      <c r="H9" s="12" t="s">
        <v>62</v>
      </c>
    </row>
    <row r="10" spans="1:8" x14ac:dyDescent="0.25">
      <c r="B10" s="11" t="s">
        <v>63</v>
      </c>
      <c r="C10" s="11" t="s">
        <v>657</v>
      </c>
      <c r="D10" s="11">
        <v>3000</v>
      </c>
      <c r="E10" s="11">
        <v>500</v>
      </c>
      <c r="F10" s="11">
        <f>D10/2</f>
        <v>1500</v>
      </c>
      <c r="G10" s="11">
        <v>0</v>
      </c>
      <c r="H10" s="11" t="s">
        <v>813</v>
      </c>
    </row>
    <row r="13" spans="1:8" x14ac:dyDescent="0.25">
      <c r="B13" s="4" t="s">
        <v>1080</v>
      </c>
    </row>
    <row r="14" spans="1:8" x14ac:dyDescent="0.25">
      <c r="B14" s="4" t="s">
        <v>1081</v>
      </c>
    </row>
    <row r="22" spans="2:6" x14ac:dyDescent="0.25">
      <c r="B22" s="4" t="s">
        <v>1082</v>
      </c>
    </row>
    <row r="23" spans="2:6" x14ac:dyDescent="0.25">
      <c r="B23" s="4" t="s">
        <v>1083</v>
      </c>
    </row>
    <row r="24" spans="2:6" x14ac:dyDescent="0.25">
      <c r="B24" s="4" t="s">
        <v>1084</v>
      </c>
    </row>
    <row r="25" spans="2:6" x14ac:dyDescent="0.25">
      <c r="B25" s="4" t="s">
        <v>1085</v>
      </c>
    </row>
    <row r="27" spans="2:6" x14ac:dyDescent="0.25">
      <c r="B27" s="4" t="s">
        <v>1086</v>
      </c>
    </row>
    <row r="28" spans="2:6" x14ac:dyDescent="0.25">
      <c r="B28" s="2"/>
      <c r="C28" s="2"/>
      <c r="D28" s="2"/>
      <c r="E28" s="2"/>
      <c r="F28" s="2"/>
    </row>
    <row r="29" spans="2:6" x14ac:dyDescent="0.25">
      <c r="B29" s="2"/>
      <c r="C29" s="2"/>
      <c r="D29" s="2"/>
      <c r="E29" s="2"/>
      <c r="F29" s="2"/>
    </row>
    <row r="30" spans="2:6" x14ac:dyDescent="0.25">
      <c r="B30" s="2" t="s">
        <v>1087</v>
      </c>
    </row>
    <row r="31" spans="2:6" x14ac:dyDescent="0.25">
      <c r="B31" s="4" t="s">
        <v>1088</v>
      </c>
    </row>
    <row r="32" spans="2:6" x14ac:dyDescent="0.25">
      <c r="B32" s="2"/>
    </row>
    <row r="33" spans="1:2" x14ac:dyDescent="0.25">
      <c r="B33" s="2"/>
    </row>
    <row r="34" spans="1:2" x14ac:dyDescent="0.25">
      <c r="B34" s="2"/>
    </row>
    <row r="35" spans="1:2" x14ac:dyDescent="0.25">
      <c r="B35" s="2"/>
    </row>
    <row r="36" spans="1:2" x14ac:dyDescent="0.25">
      <c r="B36" s="2"/>
    </row>
    <row r="37" spans="1:2" x14ac:dyDescent="0.25">
      <c r="B37" s="2"/>
    </row>
    <row r="38" spans="1:2" x14ac:dyDescent="0.25">
      <c r="B38" s="2"/>
    </row>
    <row r="39" spans="1:2" x14ac:dyDescent="0.25">
      <c r="B39" s="2"/>
    </row>
    <row r="40" spans="1:2" x14ac:dyDescent="0.25">
      <c r="B40" s="4" t="s">
        <v>1089</v>
      </c>
    </row>
    <row r="41" spans="1:2" x14ac:dyDescent="0.25">
      <c r="B41" s="4" t="s">
        <v>1090</v>
      </c>
    </row>
    <row r="42" spans="1:2" x14ac:dyDescent="0.25">
      <c r="B42" s="4" t="s">
        <v>1091</v>
      </c>
    </row>
    <row r="43" spans="1:2" x14ac:dyDescent="0.25">
      <c r="B43" s="4" t="s">
        <v>1085</v>
      </c>
    </row>
    <row r="45" spans="1:2" x14ac:dyDescent="0.25">
      <c r="B45" s="4" t="s">
        <v>1092</v>
      </c>
    </row>
    <row r="47" spans="1:2" x14ac:dyDescent="0.25">
      <c r="A47" s="3" t="s">
        <v>1094</v>
      </c>
      <c r="B47" s="2"/>
    </row>
    <row r="48" spans="1:2" x14ac:dyDescent="0.25">
      <c r="B48" s="2" t="s">
        <v>1095</v>
      </c>
    </row>
    <row r="49" spans="1:4" x14ac:dyDescent="0.25">
      <c r="B49" s="4" t="s">
        <v>1097</v>
      </c>
    </row>
    <row r="50" spans="1:4" x14ac:dyDescent="0.25">
      <c r="B50" s="4" t="s">
        <v>1098</v>
      </c>
    </row>
    <row r="51" spans="1:4" x14ac:dyDescent="0.25">
      <c r="B51" s="4" t="s">
        <v>1096</v>
      </c>
    </row>
    <row r="53" spans="1:4" x14ac:dyDescent="0.25">
      <c r="B53" s="4" t="s">
        <v>1099</v>
      </c>
    </row>
    <row r="54" spans="1:4" x14ac:dyDescent="0.25">
      <c r="B54" s="6" t="s">
        <v>1100</v>
      </c>
      <c r="C54" s="6" t="s">
        <v>1101</v>
      </c>
      <c r="D54" s="6" t="s">
        <v>61</v>
      </c>
    </row>
    <row r="55" spans="1:4" x14ac:dyDescent="0.25">
      <c r="B55" s="6" t="s">
        <v>1102</v>
      </c>
      <c r="C55" s="6" t="s">
        <v>1104</v>
      </c>
      <c r="D55" s="6">
        <v>0</v>
      </c>
    </row>
    <row r="56" spans="1:4" x14ac:dyDescent="0.25">
      <c r="B56" s="6" t="s">
        <v>1103</v>
      </c>
      <c r="C56" s="6" t="s">
        <v>1105</v>
      </c>
      <c r="D56" s="6">
        <v>0</v>
      </c>
    </row>
    <row r="59" spans="1:4" x14ac:dyDescent="0.25">
      <c r="A59" s="3" t="s">
        <v>1106</v>
      </c>
    </row>
    <row r="60" spans="1:4" x14ac:dyDescent="0.25">
      <c r="B60" s="4" t="s">
        <v>1107</v>
      </c>
    </row>
    <row r="61" spans="1:4" x14ac:dyDescent="0.25">
      <c r="B61" s="4" t="s">
        <v>1108</v>
      </c>
    </row>
    <row r="62" spans="1:4" x14ac:dyDescent="0.25">
      <c r="B62" s="4" t="s">
        <v>1109</v>
      </c>
    </row>
    <row r="63" spans="1:4" x14ac:dyDescent="0.25">
      <c r="B63" s="4" t="s">
        <v>1110</v>
      </c>
    </row>
  </sheetData>
  <phoneticPr fontId="1"/>
  <pageMargins left="0.75" right="0.35" top="1" bottom="1" header="0.51200000000000001" footer="0.51200000000000001"/>
  <pageSetup paperSize="9" scale="8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4169-B4F2-4BD2-835D-E35C4AB0921F}">
  <dimension ref="A1:G148"/>
  <sheetViews>
    <sheetView topLeftCell="A96" zoomScaleNormal="100" workbookViewId="0">
      <selection activeCell="I123" sqref="I123"/>
    </sheetView>
  </sheetViews>
  <sheetFormatPr defaultRowHeight="15.75" x14ac:dyDescent="0.25"/>
  <cols>
    <col min="1" max="1" width="3.25" style="3" customWidth="1"/>
    <col min="2" max="2" width="19.125" style="4" customWidth="1"/>
    <col min="3" max="3" width="14.125" style="4" customWidth="1"/>
    <col min="4" max="4" width="34.875" style="4" bestFit="1" customWidth="1"/>
    <col min="5" max="5" width="19.75" style="4" customWidth="1"/>
    <col min="6" max="6" width="11.875" style="4" bestFit="1" customWidth="1"/>
    <col min="7" max="7" width="14.875" style="2" bestFit="1" customWidth="1"/>
    <col min="8" max="16384" width="9" style="2"/>
  </cols>
  <sheetData>
    <row r="1" spans="1:7" s="3" customFormat="1" ht="19.5" x14ac:dyDescent="0.3">
      <c r="A1" s="1" t="s">
        <v>1114</v>
      </c>
      <c r="B1" s="4"/>
      <c r="C1" s="4"/>
      <c r="D1" s="4"/>
      <c r="E1" s="4"/>
      <c r="F1" s="5"/>
    </row>
    <row r="3" spans="1:7" x14ac:dyDescent="0.25">
      <c r="A3" s="3" t="s">
        <v>1183</v>
      </c>
    </row>
    <row r="5" spans="1:7" x14ac:dyDescent="0.25">
      <c r="B5" s="6" t="s">
        <v>337</v>
      </c>
      <c r="C5" s="6" t="s">
        <v>1115</v>
      </c>
      <c r="D5" s="6" t="s">
        <v>1116</v>
      </c>
      <c r="E5" s="6"/>
      <c r="F5" s="6"/>
      <c r="G5" s="7"/>
    </row>
    <row r="6" spans="1:7" x14ac:dyDescent="0.25">
      <c r="B6" s="6" t="s">
        <v>343</v>
      </c>
      <c r="C6" s="6" t="s">
        <v>1117</v>
      </c>
      <c r="D6" s="6">
        <v>1</v>
      </c>
      <c r="E6" s="6" t="s">
        <v>514</v>
      </c>
      <c r="F6" s="6" t="s">
        <v>1118</v>
      </c>
      <c r="G6" s="7" t="s">
        <v>1119</v>
      </c>
    </row>
    <row r="7" spans="1:7" x14ac:dyDescent="0.25">
      <c r="B7" s="6" t="s">
        <v>343</v>
      </c>
      <c r="C7" s="6" t="s">
        <v>1120</v>
      </c>
      <c r="D7" s="6">
        <v>1</v>
      </c>
      <c r="E7" s="6" t="s">
        <v>514</v>
      </c>
      <c r="F7" s="6" t="s">
        <v>1118</v>
      </c>
      <c r="G7" s="7"/>
    </row>
    <row r="8" spans="1:7" x14ac:dyDescent="0.25">
      <c r="B8" s="6" t="s">
        <v>343</v>
      </c>
      <c r="C8" s="6" t="s">
        <v>1121</v>
      </c>
      <c r="D8" s="6" t="s">
        <v>1116</v>
      </c>
      <c r="E8" s="6" t="s">
        <v>514</v>
      </c>
      <c r="F8" s="6" t="s">
        <v>1118</v>
      </c>
      <c r="G8" s="7"/>
    </row>
    <row r="9" spans="1:7" x14ac:dyDescent="0.25">
      <c r="B9" s="6" t="s">
        <v>343</v>
      </c>
      <c r="C9" s="6" t="s">
        <v>1122</v>
      </c>
      <c r="D9" s="6" t="s">
        <v>1123</v>
      </c>
      <c r="E9" s="6" t="s">
        <v>514</v>
      </c>
      <c r="F9" s="6" t="s">
        <v>1124</v>
      </c>
      <c r="G9" s="7"/>
    </row>
    <row r="10" spans="1:7" x14ac:dyDescent="0.25">
      <c r="B10" s="6" t="s">
        <v>337</v>
      </c>
      <c r="C10" s="6" t="s">
        <v>1125</v>
      </c>
      <c r="D10" s="6" t="s">
        <v>1116</v>
      </c>
      <c r="E10" s="6"/>
      <c r="F10" s="6"/>
      <c r="G10" s="7"/>
    </row>
    <row r="11" spans="1:7" x14ac:dyDescent="0.25">
      <c r="B11" s="6" t="s">
        <v>343</v>
      </c>
      <c r="C11" s="6" t="s">
        <v>1126</v>
      </c>
      <c r="D11" s="6" t="s">
        <v>1123</v>
      </c>
      <c r="E11" s="6" t="s">
        <v>514</v>
      </c>
      <c r="F11" s="6" t="s">
        <v>1124</v>
      </c>
      <c r="G11" s="7"/>
    </row>
    <row r="12" spans="1:7" x14ac:dyDescent="0.25">
      <c r="B12" s="6" t="s">
        <v>433</v>
      </c>
      <c r="C12" s="6" t="s">
        <v>1127</v>
      </c>
      <c r="D12" s="6" t="s">
        <v>514</v>
      </c>
      <c r="E12" s="6" t="s">
        <v>1128</v>
      </c>
      <c r="F12" s="6"/>
      <c r="G12" s="7"/>
    </row>
    <row r="13" spans="1:7" x14ac:dyDescent="0.25">
      <c r="B13" s="6" t="s">
        <v>1</v>
      </c>
      <c r="C13" s="6" t="s">
        <v>1129</v>
      </c>
      <c r="D13" s="6"/>
      <c r="E13" s="6"/>
      <c r="F13" s="6"/>
      <c r="G13" s="7"/>
    </row>
    <row r="14" spans="1:7" x14ac:dyDescent="0.25">
      <c r="B14" s="6" t="s">
        <v>2</v>
      </c>
      <c r="C14" s="6" t="s">
        <v>1130</v>
      </c>
      <c r="D14" s="6"/>
      <c r="E14" s="6"/>
      <c r="F14" s="6"/>
      <c r="G14" s="7"/>
    </row>
    <row r="15" spans="1:7" x14ac:dyDescent="0.25">
      <c r="B15" s="6"/>
      <c r="C15" s="6" t="s">
        <v>2</v>
      </c>
      <c r="D15" s="6" t="s">
        <v>1131</v>
      </c>
      <c r="E15" s="6"/>
      <c r="F15" s="6"/>
      <c r="G15" s="7"/>
    </row>
    <row r="16" spans="1:7" x14ac:dyDescent="0.25">
      <c r="B16" s="6"/>
      <c r="C16" s="6"/>
      <c r="D16" s="6" t="s">
        <v>2</v>
      </c>
      <c r="E16" s="6" t="s">
        <v>1132</v>
      </c>
      <c r="F16" s="6" t="s">
        <v>449</v>
      </c>
      <c r="G16" s="7" t="s">
        <v>1133</v>
      </c>
    </row>
    <row r="17" spans="2:7" x14ac:dyDescent="0.25">
      <c r="B17" s="6"/>
      <c r="C17" s="6"/>
      <c r="D17" s="6" t="s">
        <v>443</v>
      </c>
      <c r="E17" s="6"/>
      <c r="F17" s="6" t="s">
        <v>681</v>
      </c>
      <c r="G17" s="7" t="s">
        <v>1134</v>
      </c>
    </row>
    <row r="18" spans="2:7" x14ac:dyDescent="0.25">
      <c r="B18" s="6"/>
      <c r="C18" s="6"/>
      <c r="D18" s="6" t="s">
        <v>9</v>
      </c>
      <c r="E18" s="6" t="s">
        <v>1120</v>
      </c>
      <c r="F18" s="6" t="s">
        <v>1135</v>
      </c>
      <c r="G18" s="7" t="s">
        <v>1136</v>
      </c>
    </row>
    <row r="19" spans="2:7" x14ac:dyDescent="0.25">
      <c r="B19" s="6"/>
      <c r="C19" s="6"/>
      <c r="D19" s="6" t="s">
        <v>9</v>
      </c>
      <c r="E19" s="6" t="s">
        <v>449</v>
      </c>
      <c r="F19" s="6" t="s">
        <v>1137</v>
      </c>
      <c r="G19" s="7" t="s">
        <v>1138</v>
      </c>
    </row>
    <row r="20" spans="2:7" x14ac:dyDescent="0.25">
      <c r="B20" s="6"/>
      <c r="C20" s="6"/>
      <c r="D20" s="6" t="s">
        <v>6</v>
      </c>
      <c r="E20" s="6" t="s">
        <v>1139</v>
      </c>
      <c r="F20" s="6"/>
      <c r="G20" s="7"/>
    </row>
    <row r="21" spans="2:7" x14ac:dyDescent="0.25">
      <c r="B21" s="6"/>
      <c r="C21" s="6" t="s">
        <v>4</v>
      </c>
      <c r="D21" s="6"/>
      <c r="E21" s="6"/>
      <c r="F21" s="6"/>
      <c r="G21" s="7"/>
    </row>
    <row r="22" spans="2:7" x14ac:dyDescent="0.25">
      <c r="B22" s="6"/>
      <c r="C22" s="6"/>
      <c r="D22" s="6" t="s">
        <v>449</v>
      </c>
      <c r="E22" s="6" t="s">
        <v>1140</v>
      </c>
      <c r="F22" s="6"/>
      <c r="G22" s="7"/>
    </row>
    <row r="23" spans="2:7" x14ac:dyDescent="0.25">
      <c r="B23" s="6"/>
      <c r="C23" s="6"/>
      <c r="D23" s="6" t="s">
        <v>452</v>
      </c>
      <c r="E23" s="6" t="s">
        <v>1125</v>
      </c>
      <c r="F23" s="6"/>
      <c r="G23" s="7"/>
    </row>
    <row r="24" spans="2:7" x14ac:dyDescent="0.25">
      <c r="B24" s="6"/>
      <c r="C24" s="6" t="s">
        <v>3</v>
      </c>
      <c r="D24" s="6"/>
      <c r="E24" s="6"/>
      <c r="F24" s="6"/>
      <c r="G24" s="7"/>
    </row>
    <row r="25" spans="2:7" x14ac:dyDescent="0.25">
      <c r="B25" s="6" t="s">
        <v>439</v>
      </c>
      <c r="C25" s="6" t="s">
        <v>1141</v>
      </c>
      <c r="D25" s="6"/>
      <c r="E25" s="6"/>
      <c r="F25" s="6"/>
      <c r="G25" s="7"/>
    </row>
    <row r="26" spans="2:7" x14ac:dyDescent="0.25">
      <c r="B26" s="6"/>
      <c r="C26" s="6" t="s">
        <v>452</v>
      </c>
      <c r="D26" s="6" t="s">
        <v>1125</v>
      </c>
      <c r="E26" s="6"/>
      <c r="F26" s="6"/>
      <c r="G26" s="7"/>
    </row>
    <row r="27" spans="2:7" x14ac:dyDescent="0.25">
      <c r="B27" s="6" t="s">
        <v>3</v>
      </c>
      <c r="C27" s="6"/>
      <c r="D27" s="6"/>
      <c r="E27" s="6"/>
      <c r="F27" s="6"/>
      <c r="G27" s="7"/>
    </row>
    <row r="28" spans="2:7" x14ac:dyDescent="0.25">
      <c r="B28" s="6"/>
      <c r="C28" s="6"/>
      <c r="D28" s="6"/>
      <c r="E28" s="6"/>
      <c r="F28" s="6"/>
      <c r="G28" s="7"/>
    </row>
    <row r="29" spans="2:7" x14ac:dyDescent="0.25">
      <c r="B29" s="6" t="s">
        <v>1</v>
      </c>
      <c r="C29" s="6" t="s">
        <v>1139</v>
      </c>
      <c r="D29" s="6"/>
      <c r="E29" s="6"/>
      <c r="F29" s="6"/>
      <c r="G29" s="7"/>
    </row>
    <row r="30" spans="2:7" x14ac:dyDescent="0.25">
      <c r="B30" s="6" t="s">
        <v>2</v>
      </c>
      <c r="C30" s="6" t="s">
        <v>1142</v>
      </c>
      <c r="D30" s="6"/>
      <c r="E30" s="6"/>
      <c r="F30" s="6"/>
      <c r="G30" s="7"/>
    </row>
    <row r="31" spans="2:7" x14ac:dyDescent="0.25">
      <c r="B31" s="6"/>
      <c r="C31" s="6" t="s">
        <v>449</v>
      </c>
      <c r="D31" s="6" t="s">
        <v>1140</v>
      </c>
      <c r="E31" s="6"/>
      <c r="F31" s="6"/>
      <c r="G31" s="7"/>
    </row>
    <row r="32" spans="2:7" x14ac:dyDescent="0.25">
      <c r="B32" s="6"/>
      <c r="C32" s="6" t="s">
        <v>9</v>
      </c>
      <c r="D32" s="6" t="s">
        <v>1126</v>
      </c>
      <c r="E32" s="6" t="s">
        <v>1143</v>
      </c>
      <c r="F32" s="6" t="s">
        <v>1144</v>
      </c>
      <c r="G32" s="7"/>
    </row>
    <row r="33" spans="1:7" x14ac:dyDescent="0.25">
      <c r="B33" s="6"/>
      <c r="C33" s="6" t="s">
        <v>449</v>
      </c>
      <c r="D33" s="6" t="s">
        <v>1145</v>
      </c>
      <c r="E33" s="6"/>
      <c r="F33" s="6"/>
      <c r="G33" s="7"/>
    </row>
    <row r="34" spans="1:7" x14ac:dyDescent="0.25">
      <c r="B34" s="6"/>
      <c r="C34" s="6" t="s">
        <v>6</v>
      </c>
      <c r="D34" s="6" t="s">
        <v>1129</v>
      </c>
      <c r="E34" s="6"/>
      <c r="F34" s="6"/>
      <c r="G34" s="7"/>
    </row>
    <row r="35" spans="1:7" x14ac:dyDescent="0.25">
      <c r="B35" s="6" t="s">
        <v>3</v>
      </c>
      <c r="C35" s="6"/>
      <c r="D35" s="6"/>
      <c r="E35" s="6"/>
      <c r="F35" s="6"/>
      <c r="G35" s="7"/>
    </row>
    <row r="38" spans="1:7" x14ac:dyDescent="0.25">
      <c r="A38" s="3" t="s">
        <v>1146</v>
      </c>
    </row>
    <row r="39" spans="1:7" x14ac:dyDescent="0.25">
      <c r="B39" s="4" t="s">
        <v>1147</v>
      </c>
    </row>
    <row r="40" spans="1:7" x14ac:dyDescent="0.25">
      <c r="B40" s="6" t="s">
        <v>1148</v>
      </c>
      <c r="C40" s="38" t="s">
        <v>451</v>
      </c>
      <c r="D40" s="38" t="s">
        <v>322</v>
      </c>
      <c r="E40" s="38"/>
      <c r="F40" s="38"/>
      <c r="G40" s="41"/>
    </row>
    <row r="41" spans="1:7" x14ac:dyDescent="0.25">
      <c r="B41" s="6" t="s">
        <v>1149</v>
      </c>
      <c r="C41" s="38" t="s">
        <v>433</v>
      </c>
      <c r="D41" s="38" t="s">
        <v>1150</v>
      </c>
      <c r="E41" s="38"/>
      <c r="F41" s="38"/>
      <c r="G41" s="41"/>
    </row>
    <row r="42" spans="1:7" x14ac:dyDescent="0.25">
      <c r="B42" s="6" t="s">
        <v>1151</v>
      </c>
      <c r="C42" s="38" t="s">
        <v>1</v>
      </c>
      <c r="D42" s="38" t="s">
        <v>1152</v>
      </c>
      <c r="E42" s="38"/>
      <c r="F42" s="38"/>
      <c r="G42" s="41"/>
    </row>
    <row r="43" spans="1:7" x14ac:dyDescent="0.25">
      <c r="B43" s="6" t="s">
        <v>446</v>
      </c>
      <c r="C43" s="38" t="s">
        <v>6</v>
      </c>
      <c r="D43" s="38" t="s">
        <v>1153</v>
      </c>
      <c r="E43" s="38"/>
      <c r="F43" s="38"/>
      <c r="G43" s="41"/>
    </row>
    <row r="45" spans="1:7" x14ac:dyDescent="0.25">
      <c r="B45" s="4" t="s">
        <v>1154</v>
      </c>
    </row>
    <row r="46" spans="1:7" x14ac:dyDescent="0.25">
      <c r="B46" s="6" t="s">
        <v>433</v>
      </c>
      <c r="C46" s="6" t="s">
        <v>1161</v>
      </c>
      <c r="D46" s="6" t="s">
        <v>1163</v>
      </c>
      <c r="E46" s="6" t="s">
        <v>33</v>
      </c>
      <c r="F46" s="6" t="s">
        <v>1033</v>
      </c>
      <c r="G46" s="7"/>
    </row>
    <row r="47" spans="1:7" x14ac:dyDescent="0.25">
      <c r="B47" s="4" t="s">
        <v>1159</v>
      </c>
    </row>
    <row r="48" spans="1:7" x14ac:dyDescent="0.25">
      <c r="B48" s="6" t="s">
        <v>433</v>
      </c>
      <c r="C48" s="6" t="s">
        <v>1127</v>
      </c>
      <c r="D48" s="6" t="s">
        <v>514</v>
      </c>
      <c r="E48" s="6" t="s">
        <v>1128</v>
      </c>
      <c r="F48" s="6"/>
      <c r="G48" s="7"/>
    </row>
    <row r="50" spans="2:7" x14ac:dyDescent="0.25">
      <c r="B50" s="4" t="s">
        <v>1160</v>
      </c>
    </row>
    <row r="51" spans="2:7" x14ac:dyDescent="0.25">
      <c r="B51" s="4" t="s">
        <v>1162</v>
      </c>
      <c r="C51" s="4" t="s">
        <v>1164</v>
      </c>
    </row>
    <row r="52" spans="2:7" x14ac:dyDescent="0.25">
      <c r="B52" s="4" t="s">
        <v>1155</v>
      </c>
    </row>
    <row r="53" spans="2:7" x14ac:dyDescent="0.25">
      <c r="B53" s="4" t="s">
        <v>1156</v>
      </c>
      <c r="C53" s="4" t="s">
        <v>1158</v>
      </c>
    </row>
    <row r="54" spans="2:7" x14ac:dyDescent="0.25">
      <c r="B54" s="4" t="s">
        <v>1157</v>
      </c>
    </row>
    <row r="57" spans="2:7" x14ac:dyDescent="0.25">
      <c r="B57" s="4" t="s">
        <v>1165</v>
      </c>
    </row>
    <row r="58" spans="2:7" x14ac:dyDescent="0.25">
      <c r="B58" s="6" t="s">
        <v>1</v>
      </c>
      <c r="C58" s="6" t="s">
        <v>1169</v>
      </c>
      <c r="D58" s="6"/>
      <c r="E58" s="6"/>
      <c r="F58" s="6"/>
      <c r="G58" s="7"/>
    </row>
    <row r="59" spans="2:7" x14ac:dyDescent="0.25">
      <c r="B59" s="4" t="s">
        <v>1159</v>
      </c>
    </row>
    <row r="60" spans="2:7" x14ac:dyDescent="0.25">
      <c r="B60" s="6" t="s">
        <v>1</v>
      </c>
      <c r="C60" s="6" t="s">
        <v>1129</v>
      </c>
      <c r="D60" s="6"/>
      <c r="E60" s="6"/>
      <c r="F60" s="6"/>
      <c r="G60" s="7"/>
    </row>
    <row r="62" spans="2:7" x14ac:dyDescent="0.25">
      <c r="B62" s="4" t="s">
        <v>1166</v>
      </c>
    </row>
    <row r="63" spans="2:7" x14ac:dyDescent="0.25">
      <c r="B63" s="4" t="s">
        <v>1167</v>
      </c>
    </row>
    <row r="64" spans="2:7" x14ac:dyDescent="0.25">
      <c r="B64" s="4" t="s">
        <v>1168</v>
      </c>
    </row>
    <row r="67" spans="1:7" x14ac:dyDescent="0.25">
      <c r="B67" s="4" t="s">
        <v>1170</v>
      </c>
    </row>
    <row r="68" spans="1:7" x14ac:dyDescent="0.25">
      <c r="B68" s="6" t="s">
        <v>6</v>
      </c>
      <c r="C68" s="6" t="s">
        <v>1169</v>
      </c>
      <c r="D68" s="6"/>
      <c r="E68" s="6"/>
      <c r="F68" s="6"/>
      <c r="G68" s="7"/>
    </row>
    <row r="69" spans="1:7" x14ac:dyDescent="0.25">
      <c r="B69" s="4" t="s">
        <v>1159</v>
      </c>
    </row>
    <row r="70" spans="1:7" x14ac:dyDescent="0.25">
      <c r="B70" s="6" t="s">
        <v>6</v>
      </c>
      <c r="C70" s="6" t="s">
        <v>1139</v>
      </c>
      <c r="D70" s="6"/>
      <c r="E70" s="6"/>
      <c r="F70" s="6"/>
      <c r="G70" s="7"/>
    </row>
    <row r="72" spans="1:7" x14ac:dyDescent="0.25">
      <c r="B72" s="4" t="s">
        <v>1171</v>
      </c>
    </row>
    <row r="75" spans="1:7" x14ac:dyDescent="0.25">
      <c r="A75" s="3" t="s">
        <v>2123</v>
      </c>
    </row>
    <row r="76" spans="1:7" x14ac:dyDescent="0.25">
      <c r="B76" s="4" t="s">
        <v>1008</v>
      </c>
    </row>
    <row r="77" spans="1:7" x14ac:dyDescent="0.25">
      <c r="B77" s="6" t="s">
        <v>12</v>
      </c>
      <c r="C77" s="6" t="s">
        <v>1009</v>
      </c>
    </row>
    <row r="78" spans="1:7" x14ac:dyDescent="0.25">
      <c r="B78" s="6"/>
      <c r="C78" s="6" t="s">
        <v>1007</v>
      </c>
    </row>
    <row r="79" spans="1:7" x14ac:dyDescent="0.25">
      <c r="B79" s="6" t="s">
        <v>4</v>
      </c>
      <c r="C79" s="6"/>
    </row>
    <row r="80" spans="1:7" x14ac:dyDescent="0.25">
      <c r="B80" s="6"/>
      <c r="C80" s="6" t="s">
        <v>1007</v>
      </c>
    </row>
    <row r="81" spans="2:5" x14ac:dyDescent="0.25">
      <c r="B81" s="6" t="s">
        <v>3</v>
      </c>
      <c r="C81" s="6"/>
    </row>
    <row r="83" spans="2:5" x14ac:dyDescent="0.25">
      <c r="B83" s="4" t="s">
        <v>1010</v>
      </c>
    </row>
    <row r="84" spans="2:5" x14ac:dyDescent="0.25">
      <c r="B84" s="6" t="s">
        <v>12</v>
      </c>
      <c r="C84" s="6" t="s">
        <v>1009</v>
      </c>
    </row>
    <row r="85" spans="2:5" x14ac:dyDescent="0.25">
      <c r="B85" s="6"/>
      <c r="C85" s="6" t="s">
        <v>1007</v>
      </c>
    </row>
    <row r="86" spans="2:5" x14ac:dyDescent="0.25">
      <c r="B86" s="6" t="s">
        <v>3</v>
      </c>
      <c r="C86" s="6"/>
    </row>
    <row r="89" spans="2:5" x14ac:dyDescent="0.25">
      <c r="B89" s="4" t="s">
        <v>1011</v>
      </c>
    </row>
    <row r="90" spans="2:5" x14ac:dyDescent="0.25">
      <c r="B90" s="11" t="s">
        <v>12</v>
      </c>
      <c r="C90" s="11" t="s">
        <v>832</v>
      </c>
      <c r="D90" s="11" t="s">
        <v>673</v>
      </c>
      <c r="E90" s="11" t="s">
        <v>1013</v>
      </c>
    </row>
    <row r="91" spans="2:5" x14ac:dyDescent="0.25">
      <c r="B91" s="11" t="s">
        <v>137</v>
      </c>
      <c r="C91" s="11"/>
      <c r="D91" s="11" t="s">
        <v>673</v>
      </c>
      <c r="E91" s="11" t="s">
        <v>1014</v>
      </c>
    </row>
    <row r="92" spans="2:5" x14ac:dyDescent="0.25">
      <c r="B92" s="4" t="s">
        <v>1012</v>
      </c>
    </row>
    <row r="93" spans="2:5" x14ac:dyDescent="0.25">
      <c r="B93" s="11" t="s">
        <v>12</v>
      </c>
      <c r="C93" s="11" t="s">
        <v>832</v>
      </c>
      <c r="D93" s="6"/>
      <c r="E93" s="6"/>
    </row>
    <row r="94" spans="2:5" x14ac:dyDescent="0.25">
      <c r="B94" s="6"/>
      <c r="C94" s="6" t="s">
        <v>125</v>
      </c>
      <c r="D94" s="11" t="s">
        <v>1013</v>
      </c>
      <c r="E94" s="6"/>
    </row>
    <row r="95" spans="2:5" x14ac:dyDescent="0.25">
      <c r="B95" s="6" t="s">
        <v>153</v>
      </c>
      <c r="C95" s="6"/>
      <c r="D95" s="6"/>
      <c r="E95" s="6"/>
    </row>
    <row r="96" spans="2:5" x14ac:dyDescent="0.25">
      <c r="B96" s="6"/>
      <c r="C96" s="6" t="s">
        <v>125</v>
      </c>
      <c r="D96" s="11" t="s">
        <v>1014</v>
      </c>
      <c r="E96" s="6"/>
    </row>
    <row r="97" spans="1:7" x14ac:dyDescent="0.25">
      <c r="B97" s="6" t="s">
        <v>11</v>
      </c>
      <c r="C97" s="6"/>
      <c r="D97" s="6"/>
      <c r="E97" s="6"/>
    </row>
    <row r="99" spans="1:7" x14ac:dyDescent="0.25">
      <c r="B99" s="4" t="s">
        <v>1173</v>
      </c>
    </row>
    <row r="102" spans="1:7" x14ac:dyDescent="0.25">
      <c r="A102" s="3" t="s">
        <v>1172</v>
      </c>
    </row>
    <row r="103" spans="1:7" x14ac:dyDescent="0.25">
      <c r="B103" s="4" t="s">
        <v>908</v>
      </c>
    </row>
    <row r="104" spans="1:7" x14ac:dyDescent="0.25">
      <c r="B104" s="6" t="s">
        <v>9</v>
      </c>
      <c r="C104" s="6" t="s">
        <v>1174</v>
      </c>
      <c r="D104" s="6" t="s">
        <v>1175</v>
      </c>
      <c r="E104" s="6" t="s">
        <v>1175</v>
      </c>
      <c r="F104" s="6" t="s">
        <v>1033</v>
      </c>
      <c r="G104" s="7"/>
    </row>
    <row r="105" spans="1:7" x14ac:dyDescent="0.25">
      <c r="B105" s="4" t="s">
        <v>1159</v>
      </c>
    </row>
    <row r="106" spans="1:7" x14ac:dyDescent="0.25">
      <c r="B106" s="6" t="s">
        <v>9</v>
      </c>
      <c r="C106" s="6" t="s">
        <v>1126</v>
      </c>
      <c r="D106" s="6" t="s">
        <v>1143</v>
      </c>
      <c r="E106" s="6" t="s">
        <v>1144</v>
      </c>
      <c r="F106" s="6"/>
      <c r="G106" s="7"/>
    </row>
    <row r="107" spans="1:7" x14ac:dyDescent="0.25">
      <c r="B107" s="4" t="s">
        <v>1176</v>
      </c>
    </row>
    <row r="108" spans="1:7" x14ac:dyDescent="0.25">
      <c r="B108" s="4" t="s">
        <v>1177</v>
      </c>
    </row>
    <row r="109" spans="1:7" x14ac:dyDescent="0.25">
      <c r="B109" s="4" t="s">
        <v>1178</v>
      </c>
    </row>
    <row r="112" spans="1:7" x14ac:dyDescent="0.25">
      <c r="A112" s="3" t="s">
        <v>1179</v>
      </c>
    </row>
    <row r="113" spans="1:7" x14ac:dyDescent="0.25">
      <c r="B113" s="4" t="s">
        <v>908</v>
      </c>
    </row>
    <row r="114" spans="1:7" x14ac:dyDescent="0.25">
      <c r="B114" s="6" t="s">
        <v>452</v>
      </c>
      <c r="C114" s="6" t="s">
        <v>1125</v>
      </c>
      <c r="D114" s="6"/>
      <c r="E114" s="6"/>
      <c r="F114" s="6"/>
      <c r="G114" s="7"/>
    </row>
    <row r="115" spans="1:7" x14ac:dyDescent="0.25">
      <c r="B115" s="4" t="s">
        <v>1159</v>
      </c>
    </row>
    <row r="116" spans="1:7" x14ac:dyDescent="0.25">
      <c r="B116" s="6" t="s">
        <v>452</v>
      </c>
      <c r="C116" s="6" t="s">
        <v>1125</v>
      </c>
      <c r="D116" s="6"/>
      <c r="E116" s="6"/>
      <c r="F116" s="6"/>
      <c r="G116" s="7"/>
    </row>
    <row r="117" spans="1:7" x14ac:dyDescent="0.25">
      <c r="B117" s="4" t="s">
        <v>1180</v>
      </c>
    </row>
    <row r="118" spans="1:7" x14ac:dyDescent="0.25">
      <c r="B118" s="4" t="s">
        <v>1181</v>
      </c>
    </row>
    <row r="121" spans="1:7" x14ac:dyDescent="0.25">
      <c r="A121" s="3" t="s">
        <v>1182</v>
      </c>
    </row>
    <row r="122" spans="1:7" x14ac:dyDescent="0.25">
      <c r="B122" s="4" t="s">
        <v>1184</v>
      </c>
    </row>
    <row r="124" spans="1:7" x14ac:dyDescent="0.25">
      <c r="B124" s="4" t="s">
        <v>1185</v>
      </c>
    </row>
    <row r="125" spans="1:7" x14ac:dyDescent="0.25">
      <c r="B125" s="4" t="s">
        <v>1111</v>
      </c>
    </row>
    <row r="126" spans="1:7" x14ac:dyDescent="0.25">
      <c r="B126" s="4" t="s">
        <v>1186</v>
      </c>
    </row>
    <row r="127" spans="1:7" x14ac:dyDescent="0.25">
      <c r="B127" s="4" t="s">
        <v>1112</v>
      </c>
    </row>
    <row r="128" spans="1:7" x14ac:dyDescent="0.25">
      <c r="B128" s="4" t="s">
        <v>1187</v>
      </c>
    </row>
    <row r="129" spans="1:2" x14ac:dyDescent="0.25">
      <c r="B129" s="4" t="s">
        <v>1188</v>
      </c>
    </row>
    <row r="130" spans="1:2" x14ac:dyDescent="0.25">
      <c r="B130" s="4" t="s">
        <v>1189</v>
      </c>
    </row>
    <row r="131" spans="1:2" x14ac:dyDescent="0.25">
      <c r="B131" s="4" t="s">
        <v>1190</v>
      </c>
    </row>
    <row r="132" spans="1:2" x14ac:dyDescent="0.25">
      <c r="B132" s="4" t="s">
        <v>1112</v>
      </c>
    </row>
    <row r="133" spans="1:2" x14ac:dyDescent="0.25">
      <c r="B133" s="4" t="s">
        <v>1191</v>
      </c>
    </row>
    <row r="135" spans="1:2" x14ac:dyDescent="0.25">
      <c r="B135" s="4" t="s">
        <v>1192</v>
      </c>
    </row>
    <row r="136" spans="1:2" x14ac:dyDescent="0.25">
      <c r="B136" s="4" t="s">
        <v>1193</v>
      </c>
    </row>
    <row r="137" spans="1:2" x14ac:dyDescent="0.25">
      <c r="B137" s="4" t="s">
        <v>1194</v>
      </c>
    </row>
    <row r="138" spans="1:2" x14ac:dyDescent="0.25">
      <c r="B138" s="4" t="s">
        <v>1195</v>
      </c>
    </row>
    <row r="141" spans="1:2" x14ac:dyDescent="0.25">
      <c r="A141" s="3" t="s">
        <v>1203</v>
      </c>
    </row>
    <row r="142" spans="1:2" x14ac:dyDescent="0.25">
      <c r="B142" s="4" t="s">
        <v>1196</v>
      </c>
    </row>
    <row r="143" spans="1:2" x14ac:dyDescent="0.25">
      <c r="B143" s="4" t="s">
        <v>1197</v>
      </c>
    </row>
    <row r="144" spans="1:2" x14ac:dyDescent="0.25">
      <c r="B144" s="4" t="s">
        <v>1198</v>
      </c>
    </row>
    <row r="145" spans="2:2" x14ac:dyDescent="0.25">
      <c r="B145" s="4" t="s">
        <v>1199</v>
      </c>
    </row>
    <row r="146" spans="2:2" x14ac:dyDescent="0.25">
      <c r="B146" s="4" t="s">
        <v>1200</v>
      </c>
    </row>
    <row r="147" spans="2:2" x14ac:dyDescent="0.25">
      <c r="B147" s="4" t="s">
        <v>1201</v>
      </c>
    </row>
    <row r="148" spans="2:2" x14ac:dyDescent="0.25">
      <c r="B148" s="4" t="s">
        <v>1202</v>
      </c>
    </row>
  </sheetData>
  <phoneticPr fontId="1"/>
  <pageMargins left="0.75" right="0.35" top="1" bottom="1" header="0.51200000000000001" footer="0.51200000000000001"/>
  <pageSetup paperSize="9" scale="8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B95B0-FDCB-4E2B-80FA-0621C7DD1029}">
  <dimension ref="A1:G79"/>
  <sheetViews>
    <sheetView zoomScaleNormal="100" workbookViewId="0">
      <selection activeCell="C56" sqref="C56"/>
    </sheetView>
  </sheetViews>
  <sheetFormatPr defaultRowHeight="15.75" x14ac:dyDescent="0.25"/>
  <cols>
    <col min="1" max="1" width="3.25" style="3" customWidth="1"/>
    <col min="2" max="2" width="25.625" style="4" customWidth="1"/>
    <col min="3" max="3" width="12.25" style="4" customWidth="1"/>
    <col min="4" max="4" width="20" style="4" customWidth="1"/>
    <col min="5" max="5" width="4.25" style="4" bestFit="1" customWidth="1"/>
    <col min="6" max="6" width="14.875" style="4" bestFit="1" customWidth="1"/>
    <col min="7" max="16384" width="9" style="2"/>
  </cols>
  <sheetData>
    <row r="1" spans="1:6" s="3" customFormat="1" ht="19.5" x14ac:dyDescent="0.3">
      <c r="A1" s="1" t="s">
        <v>1388</v>
      </c>
      <c r="B1" s="4"/>
      <c r="C1" s="4"/>
      <c r="D1" s="4"/>
      <c r="E1" s="4"/>
      <c r="F1" s="5"/>
    </row>
    <row r="3" spans="1:6" x14ac:dyDescent="0.25">
      <c r="B3" s="4" t="s">
        <v>1423</v>
      </c>
    </row>
    <row r="4" spans="1:6" x14ac:dyDescent="0.25">
      <c r="B4" s="4" t="s">
        <v>1389</v>
      </c>
    </row>
    <row r="6" spans="1:6" x14ac:dyDescent="0.25">
      <c r="B6" s="2" t="s">
        <v>1397</v>
      </c>
    </row>
    <row r="7" spans="1:6" x14ac:dyDescent="0.25">
      <c r="B7" s="4" t="s">
        <v>1204</v>
      </c>
    </row>
    <row r="8" spans="1:6" x14ac:dyDescent="0.25">
      <c r="B8" s="4" t="s">
        <v>1205</v>
      </c>
    </row>
    <row r="9" spans="1:6" x14ac:dyDescent="0.25">
      <c r="B9" s="4" t="s">
        <v>1206</v>
      </c>
    </row>
    <row r="10" spans="1:6" x14ac:dyDescent="0.25">
      <c r="B10" s="4" t="s">
        <v>1112</v>
      </c>
    </row>
    <row r="11" spans="1:6" x14ac:dyDescent="0.25">
      <c r="B11" s="4" t="s">
        <v>1207</v>
      </c>
    </row>
    <row r="12" spans="1:6" x14ac:dyDescent="0.25">
      <c r="B12" s="4" t="s">
        <v>1208</v>
      </c>
    </row>
    <row r="13" spans="1:6" x14ac:dyDescent="0.25">
      <c r="B13" s="4" t="s">
        <v>1112</v>
      </c>
    </row>
    <row r="14" spans="1:6" x14ac:dyDescent="0.25">
      <c r="B14" s="4" t="s">
        <v>1209</v>
      </c>
    </row>
    <row r="15" spans="1:6" x14ac:dyDescent="0.25">
      <c r="B15" s="4" t="s">
        <v>1210</v>
      </c>
    </row>
    <row r="16" spans="1:6" x14ac:dyDescent="0.25">
      <c r="B16" s="4" t="s">
        <v>1112</v>
      </c>
    </row>
    <row r="17" spans="2:2" x14ac:dyDescent="0.25">
      <c r="B17" s="4" t="s">
        <v>1211</v>
      </c>
    </row>
    <row r="18" spans="2:2" x14ac:dyDescent="0.25">
      <c r="B18" s="4" t="s">
        <v>1212</v>
      </c>
    </row>
    <row r="19" spans="2:2" x14ac:dyDescent="0.25">
      <c r="B19" s="4" t="s">
        <v>1112</v>
      </c>
    </row>
    <row r="20" spans="2:2" x14ac:dyDescent="0.25">
      <c r="B20" s="4" t="s">
        <v>1213</v>
      </c>
    </row>
    <row r="21" spans="2:2" x14ac:dyDescent="0.25">
      <c r="B21" s="4" t="s">
        <v>1214</v>
      </c>
    </row>
    <row r="22" spans="2:2" x14ac:dyDescent="0.25">
      <c r="B22" s="4" t="s">
        <v>1112</v>
      </c>
    </row>
    <row r="23" spans="2:2" x14ac:dyDescent="0.25">
      <c r="B23" s="4" t="s">
        <v>1215</v>
      </c>
    </row>
    <row r="24" spans="2:2" x14ac:dyDescent="0.25">
      <c r="B24" s="4" t="s">
        <v>1216</v>
      </c>
    </row>
    <row r="25" spans="2:2" x14ac:dyDescent="0.25">
      <c r="B25" s="4" t="s">
        <v>1112</v>
      </c>
    </row>
    <row r="26" spans="2:2" x14ac:dyDescent="0.25">
      <c r="B26" s="4" t="s">
        <v>1217</v>
      </c>
    </row>
    <row r="27" spans="2:2" x14ac:dyDescent="0.25">
      <c r="B27" s="4" t="s">
        <v>1218</v>
      </c>
    </row>
    <row r="28" spans="2:2" x14ac:dyDescent="0.25">
      <c r="B28" s="4" t="s">
        <v>1112</v>
      </c>
    </row>
    <row r="29" spans="2:2" x14ac:dyDescent="0.25">
      <c r="B29" s="4" t="s">
        <v>1113</v>
      </c>
    </row>
    <row r="31" spans="2:2" x14ac:dyDescent="0.25">
      <c r="B31" s="4" t="s">
        <v>1390</v>
      </c>
    </row>
    <row r="34" spans="1:2" x14ac:dyDescent="0.25">
      <c r="A34" s="3" t="s">
        <v>1418</v>
      </c>
    </row>
    <row r="35" spans="1:2" x14ac:dyDescent="0.25">
      <c r="B35" s="4" t="s">
        <v>1396</v>
      </c>
    </row>
    <row r="37" spans="1:2" x14ac:dyDescent="0.25">
      <c r="B37" s="2" t="s">
        <v>1398</v>
      </c>
    </row>
    <row r="38" spans="1:2" x14ac:dyDescent="0.25">
      <c r="B38" s="4" t="s">
        <v>1204</v>
      </c>
    </row>
    <row r="39" spans="1:2" x14ac:dyDescent="0.25">
      <c r="B39" s="4" t="s">
        <v>1205</v>
      </c>
    </row>
    <row r="40" spans="1:2" x14ac:dyDescent="0.25">
      <c r="B40" s="4" t="s">
        <v>1219</v>
      </c>
    </row>
    <row r="41" spans="1:2" x14ac:dyDescent="0.25">
      <c r="B41" s="4" t="s">
        <v>1112</v>
      </c>
    </row>
    <row r="42" spans="1:2" x14ac:dyDescent="0.25">
      <c r="B42" s="4" t="s">
        <v>1391</v>
      </c>
    </row>
    <row r="43" spans="1:2" x14ac:dyDescent="0.25">
      <c r="B43" s="4" t="s">
        <v>1220</v>
      </c>
    </row>
    <row r="44" spans="1:2" x14ac:dyDescent="0.25">
      <c r="B44" s="4" t="s">
        <v>1392</v>
      </c>
    </row>
    <row r="45" spans="1:2" x14ac:dyDescent="0.25">
      <c r="B45" s="4" t="s">
        <v>1393</v>
      </c>
    </row>
    <row r="46" spans="1:2" x14ac:dyDescent="0.25">
      <c r="B46" s="4" t="s">
        <v>1394</v>
      </c>
    </row>
    <row r="47" spans="1:2" x14ac:dyDescent="0.25">
      <c r="B47" s="4" t="s">
        <v>1395</v>
      </c>
    </row>
    <row r="48" spans="1:2" x14ac:dyDescent="0.25">
      <c r="B48" s="4" t="s">
        <v>1112</v>
      </c>
    </row>
    <row r="49" spans="1:7" x14ac:dyDescent="0.25">
      <c r="B49" s="4" t="s">
        <v>1113</v>
      </c>
    </row>
    <row r="52" spans="1:7" x14ac:dyDescent="0.25">
      <c r="A52" s="3" t="s">
        <v>1419</v>
      </c>
    </row>
    <row r="53" spans="1:7" x14ac:dyDescent="0.25">
      <c r="B53" s="6" t="s">
        <v>343</v>
      </c>
      <c r="C53" s="6" t="s">
        <v>1399</v>
      </c>
      <c r="D53" s="6">
        <v>32</v>
      </c>
      <c r="E53" s="6" t="s">
        <v>514</v>
      </c>
      <c r="F53" s="6" t="s">
        <v>1400</v>
      </c>
      <c r="G53" s="2" t="s">
        <v>1403</v>
      </c>
    </row>
    <row r="54" spans="1:7" x14ac:dyDescent="0.25">
      <c r="B54" s="42" t="s">
        <v>349</v>
      </c>
      <c r="C54" s="42" t="s">
        <v>1399</v>
      </c>
      <c r="D54" s="42" t="s">
        <v>1401</v>
      </c>
      <c r="E54" s="42"/>
      <c r="F54" s="42"/>
      <c r="G54" s="4" t="s">
        <v>1402</v>
      </c>
    </row>
    <row r="56" spans="1:7" x14ac:dyDescent="0.25">
      <c r="B56" s="4" t="s">
        <v>1404</v>
      </c>
    </row>
    <row r="57" spans="1:7" x14ac:dyDescent="0.25">
      <c r="B57" s="4" t="s">
        <v>1405</v>
      </c>
    </row>
    <row r="58" spans="1:7" x14ac:dyDescent="0.25">
      <c r="B58" s="4" t="s">
        <v>1406</v>
      </c>
    </row>
    <row r="61" spans="1:7" x14ac:dyDescent="0.25">
      <c r="A61" s="3" t="s">
        <v>1420</v>
      </c>
    </row>
    <row r="62" spans="1:7" x14ac:dyDescent="0.25">
      <c r="B62" s="4" t="s">
        <v>1407</v>
      </c>
    </row>
    <row r="63" spans="1:7" x14ac:dyDescent="0.25">
      <c r="B63" s="4" t="s">
        <v>1408</v>
      </c>
    </row>
    <row r="64" spans="1:7" x14ac:dyDescent="0.25">
      <c r="B64" s="4" t="s">
        <v>1409</v>
      </c>
    </row>
    <row r="67" spans="1:2" x14ac:dyDescent="0.25">
      <c r="A67" s="3" t="s">
        <v>1421</v>
      </c>
    </row>
    <row r="68" spans="1:2" x14ac:dyDescent="0.25">
      <c r="B68" s="4" t="s">
        <v>1412</v>
      </c>
    </row>
    <row r="69" spans="1:2" x14ac:dyDescent="0.25">
      <c r="B69" s="4" t="s">
        <v>1410</v>
      </c>
    </row>
    <row r="70" spans="1:2" x14ac:dyDescent="0.25">
      <c r="B70" s="4" t="s">
        <v>1411</v>
      </c>
    </row>
    <row r="71" spans="1:2" x14ac:dyDescent="0.25">
      <c r="B71" s="4" t="s">
        <v>1416</v>
      </c>
    </row>
    <row r="74" spans="1:2" x14ac:dyDescent="0.25">
      <c r="A74" s="3" t="s">
        <v>1072</v>
      </c>
    </row>
    <row r="75" spans="1:2" x14ac:dyDescent="0.25">
      <c r="B75" s="4" t="s">
        <v>1413</v>
      </c>
    </row>
    <row r="76" spans="1:2" x14ac:dyDescent="0.25">
      <c r="B76" s="4" t="s">
        <v>1414</v>
      </c>
    </row>
    <row r="77" spans="1:2" x14ac:dyDescent="0.25">
      <c r="B77" s="4" t="s">
        <v>1415</v>
      </c>
    </row>
    <row r="78" spans="1:2" x14ac:dyDescent="0.25">
      <c r="B78" s="4" t="s">
        <v>1422</v>
      </c>
    </row>
    <row r="79" spans="1:2" x14ac:dyDescent="0.25">
      <c r="B79" s="4" t="s">
        <v>1417</v>
      </c>
    </row>
  </sheetData>
  <phoneticPr fontId="1"/>
  <pageMargins left="0.75" right="0.35" top="1" bottom="1" header="0.51200000000000001" footer="0.51200000000000001"/>
  <pageSetup paperSize="9" scale="8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2B0A-C2C3-4E0F-BBC0-A1682A7C94C9}">
  <dimension ref="A1:H90"/>
  <sheetViews>
    <sheetView zoomScaleNormal="100" workbookViewId="0">
      <selection activeCell="J25" sqref="J25"/>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t="s">
        <v>1426</v>
      </c>
      <c r="B1" s="4"/>
      <c r="C1" s="4"/>
      <c r="D1" s="4"/>
      <c r="E1" s="4"/>
      <c r="F1" s="5"/>
    </row>
    <row r="3" spans="1:6" x14ac:dyDescent="0.25">
      <c r="B3" s="4" t="s">
        <v>1430</v>
      </c>
    </row>
    <row r="4" spans="1:6" x14ac:dyDescent="0.25">
      <c r="B4" s="4" t="s">
        <v>1427</v>
      </c>
    </row>
    <row r="5" spans="1:6" x14ac:dyDescent="0.25">
      <c r="B5" s="4" t="s">
        <v>1431</v>
      </c>
    </row>
    <row r="6" spans="1:6" x14ac:dyDescent="0.25">
      <c r="B6" s="4" t="s">
        <v>1428</v>
      </c>
    </row>
    <row r="7" spans="1:6" x14ac:dyDescent="0.25">
      <c r="B7" s="4" t="s">
        <v>1429</v>
      </c>
    </row>
    <row r="9" spans="1:6" x14ac:dyDescent="0.25">
      <c r="A9" s="3" t="s">
        <v>1475</v>
      </c>
    </row>
    <row r="10" spans="1:6" x14ac:dyDescent="0.25">
      <c r="B10" s="3" t="s">
        <v>1454</v>
      </c>
    </row>
    <row r="11" spans="1:6" x14ac:dyDescent="0.25">
      <c r="B11" s="6" t="s">
        <v>1226</v>
      </c>
      <c r="C11" s="6" t="s">
        <v>1432</v>
      </c>
      <c r="D11" s="6" t="s">
        <v>1433</v>
      </c>
    </row>
    <row r="13" spans="1:6" x14ac:dyDescent="0.25">
      <c r="B13" s="4" t="s">
        <v>1434</v>
      </c>
    </row>
    <row r="14" spans="1:6" x14ac:dyDescent="0.25">
      <c r="B14" s="4" t="s">
        <v>1435</v>
      </c>
    </row>
    <row r="16" spans="1:6" x14ac:dyDescent="0.25">
      <c r="B16" s="4" t="s">
        <v>1159</v>
      </c>
    </row>
    <row r="17" spans="2:8" x14ac:dyDescent="0.25">
      <c r="B17" s="6" t="s">
        <v>224</v>
      </c>
      <c r="C17" s="6" t="s">
        <v>646</v>
      </c>
      <c r="D17" s="6">
        <v>32</v>
      </c>
      <c r="E17" s="6"/>
      <c r="F17" s="6"/>
    </row>
    <row r="18" spans="2:8" x14ac:dyDescent="0.25">
      <c r="B18" s="6" t="s">
        <v>224</v>
      </c>
      <c r="C18" s="6" t="s">
        <v>689</v>
      </c>
      <c r="D18" s="6">
        <v>32</v>
      </c>
      <c r="E18" s="6"/>
      <c r="F18" s="6"/>
    </row>
    <row r="19" spans="2:8" x14ac:dyDescent="0.25">
      <c r="B19" s="43" t="s">
        <v>246</v>
      </c>
      <c r="C19" s="17" t="s">
        <v>1221</v>
      </c>
      <c r="D19" s="17" t="s">
        <v>1221</v>
      </c>
      <c r="E19" s="17"/>
      <c r="F19" s="17"/>
    </row>
    <row r="20" spans="2:8" x14ac:dyDescent="0.25">
      <c r="B20" s="24" t="s">
        <v>53</v>
      </c>
      <c r="C20" s="24" t="s">
        <v>1222</v>
      </c>
      <c r="D20" s="24"/>
      <c r="E20" s="24"/>
      <c r="F20" s="24"/>
    </row>
    <row r="21" spans="2:8" x14ac:dyDescent="0.25">
      <c r="B21" s="7" t="s">
        <v>12</v>
      </c>
      <c r="C21" s="7" t="s">
        <v>1223</v>
      </c>
      <c r="D21" s="7"/>
      <c r="E21" s="7"/>
      <c r="F21" s="7"/>
    </row>
    <row r="22" spans="2:8" x14ac:dyDescent="0.25">
      <c r="B22" s="7"/>
      <c r="C22" s="7" t="s">
        <v>12</v>
      </c>
      <c r="D22" s="7" t="s">
        <v>1224</v>
      </c>
      <c r="E22" s="7"/>
      <c r="F22" s="7"/>
    </row>
    <row r="23" spans="2:8" x14ac:dyDescent="0.25">
      <c r="B23" s="7"/>
      <c r="C23" s="7"/>
      <c r="D23" s="7" t="s">
        <v>814</v>
      </c>
      <c r="E23" s="7" t="s">
        <v>1225</v>
      </c>
      <c r="F23" s="7"/>
    </row>
    <row r="24" spans="2:8" x14ac:dyDescent="0.25">
      <c r="B24" s="7"/>
      <c r="C24" s="7"/>
      <c r="D24" s="44" t="s">
        <v>1226</v>
      </c>
      <c r="E24" s="7" t="s">
        <v>646</v>
      </c>
      <c r="F24" s="11" t="s">
        <v>1227</v>
      </c>
    </row>
    <row r="25" spans="2:8" x14ac:dyDescent="0.25">
      <c r="B25" s="7"/>
      <c r="C25" s="7" t="s">
        <v>11</v>
      </c>
      <c r="D25" s="7"/>
      <c r="E25" s="7"/>
      <c r="F25" s="7"/>
    </row>
    <row r="26" spans="2:8" x14ac:dyDescent="0.25">
      <c r="B26" s="7"/>
      <c r="C26" s="7" t="s">
        <v>12</v>
      </c>
      <c r="D26" s="7" t="s">
        <v>1228</v>
      </c>
      <c r="E26" s="7"/>
      <c r="F26" s="7"/>
    </row>
    <row r="27" spans="2:8" x14ac:dyDescent="0.25">
      <c r="B27" s="7"/>
      <c r="C27" s="7"/>
      <c r="D27" s="7" t="s">
        <v>814</v>
      </c>
      <c r="E27" s="7" t="s">
        <v>1225</v>
      </c>
      <c r="F27" s="7"/>
    </row>
    <row r="28" spans="2:8" x14ac:dyDescent="0.25">
      <c r="B28" s="7"/>
      <c r="C28" s="7"/>
      <c r="D28" s="44" t="s">
        <v>1226</v>
      </c>
      <c r="E28" s="7" t="s">
        <v>646</v>
      </c>
      <c r="F28" s="11" t="s">
        <v>689</v>
      </c>
    </row>
    <row r="29" spans="2:8" x14ac:dyDescent="0.25">
      <c r="B29" s="7"/>
      <c r="C29" s="7" t="s">
        <v>11</v>
      </c>
      <c r="D29" s="7"/>
      <c r="E29" s="7"/>
      <c r="F29" s="7"/>
    </row>
    <row r="30" spans="2:8" x14ac:dyDescent="0.25">
      <c r="B30" s="7" t="s">
        <v>11</v>
      </c>
      <c r="C30" s="7"/>
      <c r="D30" s="7"/>
      <c r="E30" s="7"/>
      <c r="F30" s="7"/>
    </row>
    <row r="31" spans="2:8" x14ac:dyDescent="0.25">
      <c r="B31" s="44" t="s">
        <v>1226</v>
      </c>
      <c r="C31" s="7" t="s">
        <v>689</v>
      </c>
      <c r="D31" s="7" t="s">
        <v>1229</v>
      </c>
      <c r="E31" s="8"/>
      <c r="F31" s="8"/>
    </row>
    <row r="32" spans="2:8" x14ac:dyDescent="0.25">
      <c r="B32" s="3"/>
      <c r="C32" s="3"/>
      <c r="D32" s="3"/>
      <c r="E32" s="3"/>
      <c r="F32" s="3"/>
      <c r="H32" s="3"/>
    </row>
    <row r="33" spans="1:6" x14ac:dyDescent="0.25">
      <c r="B33" s="4" t="s">
        <v>1436</v>
      </c>
    </row>
    <row r="34" spans="1:6" x14ac:dyDescent="0.25">
      <c r="B34" s="4" t="s">
        <v>1437</v>
      </c>
    </row>
    <row r="35" spans="1:6" x14ac:dyDescent="0.25">
      <c r="B35" s="4" t="s">
        <v>1438</v>
      </c>
    </row>
    <row r="36" spans="1:6" x14ac:dyDescent="0.25">
      <c r="B36" s="4" t="s">
        <v>1439</v>
      </c>
    </row>
    <row r="38" spans="1:6" x14ac:dyDescent="0.25">
      <c r="B38" s="4" t="s">
        <v>1440</v>
      </c>
    </row>
    <row r="40" spans="1:6" x14ac:dyDescent="0.25">
      <c r="B40" s="4" t="s">
        <v>1441</v>
      </c>
    </row>
    <row r="41" spans="1:6" x14ac:dyDescent="0.25">
      <c r="B41" s="4" t="s">
        <v>1442</v>
      </c>
    </row>
    <row r="42" spans="1:6" x14ac:dyDescent="0.25">
      <c r="B42" s="4" t="s">
        <v>1443</v>
      </c>
    </row>
    <row r="43" spans="1:6" x14ac:dyDescent="0.25">
      <c r="B43" s="4" t="s">
        <v>1444</v>
      </c>
    </row>
    <row r="46" spans="1:6" x14ac:dyDescent="0.25">
      <c r="A46" s="3" t="s">
        <v>1464</v>
      </c>
    </row>
    <row r="47" spans="1:6" x14ac:dyDescent="0.25">
      <c r="B47" s="4" t="s">
        <v>1159</v>
      </c>
    </row>
    <row r="48" spans="1:6" x14ac:dyDescent="0.25">
      <c r="B48" s="45" t="s">
        <v>652</v>
      </c>
      <c r="C48" s="6" t="s">
        <v>646</v>
      </c>
      <c r="D48" s="6">
        <v>32</v>
      </c>
      <c r="E48" s="45" t="s">
        <v>1230</v>
      </c>
      <c r="F48" s="6"/>
    </row>
    <row r="49" spans="2:6" x14ac:dyDescent="0.25">
      <c r="B49" s="45" t="s">
        <v>652</v>
      </c>
      <c r="C49" s="6" t="s">
        <v>648</v>
      </c>
      <c r="D49" s="6">
        <v>32</v>
      </c>
      <c r="E49" s="45" t="s">
        <v>1231</v>
      </c>
      <c r="F49" s="6"/>
    </row>
    <row r="50" spans="2:6" x14ac:dyDescent="0.25">
      <c r="B50" s="43" t="s">
        <v>246</v>
      </c>
      <c r="C50" s="17" t="s">
        <v>1221</v>
      </c>
      <c r="D50" s="17" t="s">
        <v>1221</v>
      </c>
      <c r="E50" s="17"/>
      <c r="F50" s="17"/>
    </row>
    <row r="51" spans="2:6" x14ac:dyDescent="0.25">
      <c r="B51" s="24" t="s">
        <v>53</v>
      </c>
      <c r="C51" s="24" t="s">
        <v>1222</v>
      </c>
      <c r="D51" s="24"/>
      <c r="E51" s="24"/>
      <c r="F51" s="24"/>
    </row>
    <row r="52" spans="2:6" x14ac:dyDescent="0.25">
      <c r="B52" s="7" t="s">
        <v>12</v>
      </c>
      <c r="C52" s="7" t="s">
        <v>1223</v>
      </c>
      <c r="D52" s="7"/>
      <c r="E52" s="7"/>
      <c r="F52" s="7"/>
    </row>
    <row r="53" spans="2:6" x14ac:dyDescent="0.25">
      <c r="B53" s="7"/>
      <c r="C53" s="7" t="s">
        <v>12</v>
      </c>
      <c r="D53" s="7" t="s">
        <v>1224</v>
      </c>
      <c r="E53" s="7"/>
      <c r="F53" s="7"/>
    </row>
    <row r="54" spans="2:6" x14ac:dyDescent="0.25">
      <c r="B54" s="7"/>
      <c r="C54" s="7"/>
      <c r="D54" s="7" t="s">
        <v>814</v>
      </c>
      <c r="E54" s="7" t="s">
        <v>1225</v>
      </c>
      <c r="F54" s="7"/>
    </row>
    <row r="55" spans="2:6" x14ac:dyDescent="0.25">
      <c r="B55" s="7"/>
      <c r="C55" s="7"/>
      <c r="D55" s="44" t="s">
        <v>1226</v>
      </c>
      <c r="E55" s="7" t="s">
        <v>646</v>
      </c>
      <c r="F55" s="11" t="s">
        <v>1227</v>
      </c>
    </row>
    <row r="56" spans="2:6" x14ac:dyDescent="0.25">
      <c r="B56" s="7"/>
      <c r="C56" s="7"/>
      <c r="D56" s="44" t="s">
        <v>1226</v>
      </c>
      <c r="E56" s="7" t="s">
        <v>648</v>
      </c>
      <c r="F56" s="11" t="s">
        <v>1227</v>
      </c>
    </row>
    <row r="57" spans="2:6" x14ac:dyDescent="0.25">
      <c r="B57" s="7"/>
      <c r="C57" s="7" t="s">
        <v>11</v>
      </c>
      <c r="D57" s="7"/>
      <c r="E57" s="7"/>
      <c r="F57" s="7"/>
    </row>
    <row r="58" spans="2:6" x14ac:dyDescent="0.25">
      <c r="B58" s="7"/>
      <c r="C58" s="7" t="s">
        <v>12</v>
      </c>
      <c r="D58" s="7" t="s">
        <v>1228</v>
      </c>
      <c r="E58" s="7"/>
      <c r="F58" s="7"/>
    </row>
    <row r="59" spans="2:6" x14ac:dyDescent="0.25">
      <c r="B59" s="7"/>
      <c r="C59" s="7"/>
      <c r="D59" s="7" t="s">
        <v>814</v>
      </c>
      <c r="E59" s="7" t="s">
        <v>1225</v>
      </c>
      <c r="F59" s="7"/>
    </row>
    <row r="60" spans="2:6" x14ac:dyDescent="0.25">
      <c r="B60" s="7"/>
      <c r="C60" s="7"/>
      <c r="D60" s="44" t="s">
        <v>1226</v>
      </c>
      <c r="E60" s="7" t="s">
        <v>646</v>
      </c>
      <c r="F60" s="11" t="s">
        <v>689</v>
      </c>
    </row>
    <row r="61" spans="2:6" x14ac:dyDescent="0.25">
      <c r="B61" s="7"/>
      <c r="C61" s="7"/>
      <c r="D61" s="44" t="s">
        <v>1226</v>
      </c>
      <c r="E61" s="7" t="s">
        <v>648</v>
      </c>
      <c r="F61" s="11" t="s">
        <v>689</v>
      </c>
    </row>
    <row r="62" spans="2:6" x14ac:dyDescent="0.25">
      <c r="B62" s="7"/>
      <c r="C62" s="7" t="s">
        <v>11</v>
      </c>
      <c r="D62" s="7"/>
      <c r="E62" s="7"/>
      <c r="F62" s="7"/>
    </row>
    <row r="63" spans="2:6" x14ac:dyDescent="0.25">
      <c r="B63" s="7" t="s">
        <v>11</v>
      </c>
      <c r="C63" s="7"/>
      <c r="D63" s="7"/>
      <c r="E63" s="7"/>
      <c r="F63" s="7"/>
    </row>
    <row r="65" spans="1:6" x14ac:dyDescent="0.25">
      <c r="B65" s="4" t="s">
        <v>1436</v>
      </c>
    </row>
    <row r="66" spans="1:6" x14ac:dyDescent="0.25">
      <c r="B66" s="4" t="s">
        <v>1446</v>
      </c>
    </row>
    <row r="67" spans="1:6" x14ac:dyDescent="0.25">
      <c r="B67" s="4" t="s">
        <v>1447</v>
      </c>
    </row>
    <row r="69" spans="1:6" x14ac:dyDescent="0.25">
      <c r="B69" s="4" t="s">
        <v>1448</v>
      </c>
    </row>
    <row r="70" spans="1:6" x14ac:dyDescent="0.25">
      <c r="B70" s="4" t="s">
        <v>1449</v>
      </c>
    </row>
    <row r="71" spans="1:6" x14ac:dyDescent="0.25">
      <c r="B71" s="4" t="s">
        <v>1450</v>
      </c>
    </row>
    <row r="72" spans="1:6" x14ac:dyDescent="0.25">
      <c r="B72" s="4" t="s">
        <v>1451</v>
      </c>
    </row>
    <row r="75" spans="1:6" x14ac:dyDescent="0.25">
      <c r="A75" s="3" t="s">
        <v>1465</v>
      </c>
    </row>
    <row r="76" spans="1:6" x14ac:dyDescent="0.25">
      <c r="B76" s="2" t="s">
        <v>1454</v>
      </c>
    </row>
    <row r="77" spans="1:6" x14ac:dyDescent="0.25">
      <c r="B77" s="6" t="s">
        <v>1234</v>
      </c>
      <c r="C77" s="6" t="s">
        <v>1455</v>
      </c>
      <c r="D77" s="6" t="s">
        <v>1456</v>
      </c>
    </row>
    <row r="79" spans="1:6" x14ac:dyDescent="0.25">
      <c r="B79" s="4" t="s">
        <v>1445</v>
      </c>
    </row>
    <row r="80" spans="1:6" x14ac:dyDescent="0.25">
      <c r="B80" s="6" t="s">
        <v>224</v>
      </c>
      <c r="C80" s="6" t="s">
        <v>1232</v>
      </c>
      <c r="D80" s="6">
        <v>32</v>
      </c>
      <c r="E80" s="6" t="s">
        <v>1233</v>
      </c>
      <c r="F80" s="4" t="s">
        <v>1424</v>
      </c>
    </row>
    <row r="81" spans="2:6" x14ac:dyDescent="0.25">
      <c r="B81" s="46" t="s">
        <v>1234</v>
      </c>
      <c r="C81" s="46" t="s">
        <v>1232</v>
      </c>
      <c r="D81" s="46" t="s">
        <v>1235</v>
      </c>
      <c r="E81" s="6"/>
      <c r="F81" s="4" t="s">
        <v>1425</v>
      </c>
    </row>
    <row r="82" spans="2:6" x14ac:dyDescent="0.25">
      <c r="B82" s="2"/>
      <c r="C82" s="2"/>
      <c r="D82" s="2"/>
      <c r="E82" s="2"/>
      <c r="F82" s="2"/>
    </row>
    <row r="83" spans="2:6" x14ac:dyDescent="0.25">
      <c r="B83" s="4" t="s">
        <v>1436</v>
      </c>
      <c r="C83" s="2"/>
      <c r="D83" s="2"/>
      <c r="E83" s="2"/>
      <c r="F83" s="2"/>
    </row>
    <row r="84" spans="2:6" x14ac:dyDescent="0.25">
      <c r="B84" s="4" t="s">
        <v>1236</v>
      </c>
    </row>
    <row r="86" spans="2:6" x14ac:dyDescent="0.25">
      <c r="B86" s="4" t="s">
        <v>1441</v>
      </c>
    </row>
    <row r="87" spans="2:6" x14ac:dyDescent="0.25">
      <c r="B87" s="4" t="s">
        <v>1452</v>
      </c>
    </row>
    <row r="88" spans="2:6" x14ac:dyDescent="0.25">
      <c r="B88" s="4" t="s">
        <v>1453</v>
      </c>
    </row>
    <row r="89" spans="2:6" x14ac:dyDescent="0.25">
      <c r="B89" s="2"/>
    </row>
    <row r="90" spans="2:6" x14ac:dyDescent="0.25">
      <c r="B90" s="2"/>
    </row>
  </sheetData>
  <phoneticPr fontId="1"/>
  <pageMargins left="0.75" right="0.35" top="1" bottom="1" header="0.51200000000000001" footer="0.51200000000000001"/>
  <pageSetup paperSize="9" scale="8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2043-26A8-4C50-8849-D34FAA989FDB}">
  <dimension ref="A1:K118"/>
  <sheetViews>
    <sheetView zoomScaleNormal="100" workbookViewId="0">
      <selection activeCell="B58" sqref="B58"/>
    </sheetView>
  </sheetViews>
  <sheetFormatPr defaultRowHeight="15.75" x14ac:dyDescent="0.25"/>
  <cols>
    <col min="1" max="1" width="3.25" style="3" customWidth="1"/>
    <col min="2" max="2" width="23.125" style="4" customWidth="1"/>
    <col min="3" max="3" width="43" style="4" customWidth="1"/>
    <col min="4" max="4" width="15.875" style="4" bestFit="1" customWidth="1"/>
    <col min="5" max="5" width="10.625" style="4" bestFit="1" customWidth="1"/>
    <col min="6" max="6" width="13.625" style="4" bestFit="1" customWidth="1"/>
    <col min="7" max="7" width="3.625" style="2" bestFit="1" customWidth="1"/>
    <col min="8" max="8" width="23.25" style="2" bestFit="1" customWidth="1"/>
    <col min="9" max="9" width="11.375" style="2" bestFit="1" customWidth="1"/>
    <col min="10" max="10" width="3.625" style="2" bestFit="1" customWidth="1"/>
    <col min="11" max="16384" width="9" style="2"/>
  </cols>
  <sheetData>
    <row r="1" spans="1:10" s="3" customFormat="1" ht="19.5" x14ac:dyDescent="0.3">
      <c r="A1" s="1" t="s">
        <v>1477</v>
      </c>
      <c r="B1" s="4"/>
      <c r="C1" s="4"/>
      <c r="D1" s="4"/>
      <c r="E1" s="4"/>
      <c r="F1" s="5"/>
    </row>
    <row r="2" spans="1:10" x14ac:dyDescent="0.25">
      <c r="B2" s="4" t="s">
        <v>1459</v>
      </c>
    </row>
    <row r="3" spans="1:10" x14ac:dyDescent="0.25">
      <c r="B3" s="4" t="s">
        <v>1460</v>
      </c>
    </row>
    <row r="4" spans="1:10" x14ac:dyDescent="0.25">
      <c r="B4" s="4" t="s">
        <v>1461</v>
      </c>
    </row>
    <row r="5" spans="1:10" x14ac:dyDescent="0.25">
      <c r="B5" s="4" t="s">
        <v>1462</v>
      </c>
    </row>
    <row r="6" spans="1:10" x14ac:dyDescent="0.25">
      <c r="B6" s="4" t="s">
        <v>1463</v>
      </c>
    </row>
    <row r="8" spans="1:10" x14ac:dyDescent="0.25">
      <c r="A8" s="3" t="s">
        <v>1478</v>
      </c>
    </row>
    <row r="9" spans="1:10" x14ac:dyDescent="0.25">
      <c r="B9" s="2" t="s">
        <v>1476</v>
      </c>
    </row>
    <row r="10" spans="1:10" x14ac:dyDescent="0.25">
      <c r="B10" s="6" t="s">
        <v>671</v>
      </c>
      <c r="C10" s="6" t="s">
        <v>831</v>
      </c>
      <c r="D10" s="6" t="s">
        <v>852</v>
      </c>
      <c r="E10" s="6" t="s">
        <v>25</v>
      </c>
      <c r="F10" s="6" t="s">
        <v>1457</v>
      </c>
      <c r="G10" s="6" t="s">
        <v>910</v>
      </c>
      <c r="H10" s="6" t="s">
        <v>673</v>
      </c>
      <c r="I10" s="6" t="s">
        <v>1458</v>
      </c>
      <c r="J10" s="6" t="s">
        <v>910</v>
      </c>
    </row>
    <row r="12" spans="1:10" x14ac:dyDescent="0.25">
      <c r="B12" s="4" t="s">
        <v>1470</v>
      </c>
    </row>
    <row r="13" spans="1:10" x14ac:dyDescent="0.25">
      <c r="B13" s="4" t="s">
        <v>1471</v>
      </c>
    </row>
    <row r="15" spans="1:10" x14ac:dyDescent="0.25">
      <c r="B15" s="4" t="s">
        <v>1472</v>
      </c>
    </row>
    <row r="16" spans="1:10" x14ac:dyDescent="0.25">
      <c r="B16" s="4" t="s">
        <v>1473</v>
      </c>
    </row>
    <row r="17" spans="1:8" x14ac:dyDescent="0.25">
      <c r="B17" s="4" t="s">
        <v>1474</v>
      </c>
    </row>
    <row r="19" spans="1:8" x14ac:dyDescent="0.25">
      <c r="A19" s="2"/>
    </row>
    <row r="20" spans="1:8" x14ac:dyDescent="0.25">
      <c r="A20" s="3" t="s">
        <v>1479</v>
      </c>
    </row>
    <row r="21" spans="1:8" x14ac:dyDescent="0.25">
      <c r="B21" s="4" t="s">
        <v>1480</v>
      </c>
    </row>
    <row r="22" spans="1:8" x14ac:dyDescent="0.25">
      <c r="B22" s="4" t="s">
        <v>1481</v>
      </c>
    </row>
    <row r="23" spans="1:8" x14ac:dyDescent="0.25">
      <c r="B23" s="4" t="s">
        <v>1482</v>
      </c>
    </row>
    <row r="24" spans="1:8" x14ac:dyDescent="0.25">
      <c r="B24" s="4" t="s">
        <v>1483</v>
      </c>
    </row>
    <row r="25" spans="1:8" x14ac:dyDescent="0.25">
      <c r="B25" s="4" t="s">
        <v>1484</v>
      </c>
    </row>
    <row r="27" spans="1:8" x14ac:dyDescent="0.25">
      <c r="B27" s="4" t="s">
        <v>1445</v>
      </c>
    </row>
    <row r="28" spans="1:8" x14ac:dyDescent="0.25">
      <c r="B28" s="48" t="s">
        <v>671</v>
      </c>
      <c r="C28" s="7" t="s">
        <v>44</v>
      </c>
      <c r="D28" s="7">
        <v>32</v>
      </c>
      <c r="E28" s="7" t="s">
        <v>31</v>
      </c>
      <c r="F28" s="11" t="s">
        <v>672</v>
      </c>
      <c r="G28" s="7" t="s">
        <v>673</v>
      </c>
      <c r="H28" s="11" t="s">
        <v>674</v>
      </c>
    </row>
    <row r="29" spans="1:8" x14ac:dyDescent="0.25">
      <c r="B29" s="7"/>
      <c r="C29" s="7"/>
      <c r="D29" s="7"/>
      <c r="E29" s="7"/>
      <c r="F29" s="11"/>
      <c r="G29" s="7"/>
      <c r="H29" s="11"/>
    </row>
    <row r="30" spans="1:8" x14ac:dyDescent="0.25">
      <c r="B30" s="7" t="s">
        <v>224</v>
      </c>
      <c r="C30" s="7" t="s">
        <v>31</v>
      </c>
      <c r="D30" s="7">
        <v>1</v>
      </c>
      <c r="E30" s="7"/>
      <c r="F30" s="11"/>
      <c r="G30" s="7"/>
      <c r="H30" s="11"/>
    </row>
    <row r="31" spans="1:8" x14ac:dyDescent="0.25">
      <c r="B31" s="7" t="s">
        <v>224</v>
      </c>
      <c r="C31" s="7" t="s">
        <v>34</v>
      </c>
      <c r="D31" s="7">
        <v>1</v>
      </c>
      <c r="E31" s="7"/>
      <c r="F31" s="11"/>
      <c r="G31" s="7"/>
      <c r="H31" s="11"/>
    </row>
    <row r="32" spans="1:8" x14ac:dyDescent="0.25">
      <c r="B32" s="7" t="s">
        <v>224</v>
      </c>
      <c r="C32" s="7" t="s">
        <v>38</v>
      </c>
      <c r="D32" s="7">
        <v>1</v>
      </c>
      <c r="E32" s="7"/>
      <c r="F32" s="11"/>
      <c r="G32" s="7"/>
      <c r="H32" s="11"/>
    </row>
    <row r="33" spans="2:8" x14ac:dyDescent="0.25">
      <c r="B33" s="7" t="s">
        <v>224</v>
      </c>
      <c r="C33" s="7" t="s">
        <v>1237</v>
      </c>
      <c r="D33" s="7">
        <v>1</v>
      </c>
      <c r="E33" s="7"/>
      <c r="F33" s="6"/>
      <c r="G33" s="7"/>
      <c r="H33" s="11"/>
    </row>
    <row r="34" spans="2:8" x14ac:dyDescent="0.25">
      <c r="B34" s="7" t="s">
        <v>224</v>
      </c>
      <c r="C34" s="7" t="s">
        <v>1238</v>
      </c>
      <c r="D34" s="7">
        <v>32</v>
      </c>
      <c r="E34" s="7"/>
      <c r="F34" s="7"/>
      <c r="G34" s="6"/>
      <c r="H34" s="6"/>
    </row>
    <row r="35" spans="2:8" x14ac:dyDescent="0.25">
      <c r="B35" s="7" t="s">
        <v>224</v>
      </c>
      <c r="C35" s="7" t="s">
        <v>1239</v>
      </c>
      <c r="D35" s="7">
        <v>1</v>
      </c>
      <c r="E35" s="7"/>
      <c r="F35" s="7"/>
      <c r="G35" s="6"/>
      <c r="H35" s="6"/>
    </row>
    <row r="36" spans="2:8" x14ac:dyDescent="0.25">
      <c r="B36" s="7" t="s">
        <v>50</v>
      </c>
      <c r="C36" s="7" t="s">
        <v>46</v>
      </c>
      <c r="D36" s="7">
        <v>32</v>
      </c>
      <c r="E36" s="7" t="s">
        <v>31</v>
      </c>
      <c r="F36" s="7"/>
      <c r="G36" s="6"/>
      <c r="H36" s="6"/>
    </row>
    <row r="37" spans="2:8" x14ac:dyDescent="0.25">
      <c r="B37" s="11" t="s">
        <v>246</v>
      </c>
      <c r="C37" s="11" t="s">
        <v>644</v>
      </c>
      <c r="D37" s="11" t="s">
        <v>31</v>
      </c>
      <c r="E37" s="11"/>
      <c r="F37" s="7"/>
      <c r="G37" s="6"/>
      <c r="H37" s="6"/>
    </row>
    <row r="38" spans="2:8" x14ac:dyDescent="0.25">
      <c r="B38" s="11" t="s">
        <v>53</v>
      </c>
      <c r="C38" s="11" t="s">
        <v>554</v>
      </c>
      <c r="D38" s="11"/>
      <c r="E38" s="11"/>
      <c r="F38" s="7"/>
      <c r="G38" s="6"/>
      <c r="H38" s="6"/>
    </row>
    <row r="39" spans="2:8" x14ac:dyDescent="0.25">
      <c r="B39" s="6" t="s">
        <v>12</v>
      </c>
      <c r="C39" s="6" t="s">
        <v>34</v>
      </c>
      <c r="D39" s="11"/>
      <c r="E39" s="11"/>
      <c r="F39" s="7"/>
      <c r="G39" s="6"/>
      <c r="H39" s="6"/>
    </row>
    <row r="40" spans="2:8" x14ac:dyDescent="0.25">
      <c r="B40" s="6"/>
      <c r="C40" s="11" t="s">
        <v>125</v>
      </c>
      <c r="D40" s="49" t="s">
        <v>1466</v>
      </c>
      <c r="E40" s="11"/>
      <c r="F40" s="7"/>
      <c r="G40" s="11"/>
      <c r="H40" s="7"/>
    </row>
    <row r="41" spans="2:8" x14ac:dyDescent="0.25">
      <c r="B41" s="11"/>
      <c r="C41" s="11" t="s">
        <v>10</v>
      </c>
      <c r="D41" s="11" t="s">
        <v>1240</v>
      </c>
      <c r="E41" s="11"/>
      <c r="F41" s="7"/>
      <c r="G41" s="7"/>
      <c r="H41" s="7"/>
    </row>
    <row r="42" spans="2:8" x14ac:dyDescent="0.25">
      <c r="B42" s="11" t="s">
        <v>11</v>
      </c>
      <c r="C42" s="11"/>
      <c r="D42" s="11"/>
      <c r="E42" s="11"/>
      <c r="F42" s="7"/>
      <c r="G42" s="7"/>
      <c r="H42" s="7"/>
    </row>
    <row r="43" spans="2:8" x14ac:dyDescent="0.25">
      <c r="B43" s="11"/>
      <c r="C43" s="11"/>
      <c r="D43" s="11"/>
      <c r="E43" s="11"/>
      <c r="F43" s="7"/>
      <c r="G43" s="7"/>
      <c r="H43" s="7"/>
    </row>
    <row r="44" spans="2:8" x14ac:dyDescent="0.25">
      <c r="B44" s="7" t="s">
        <v>53</v>
      </c>
      <c r="C44" s="7" t="s">
        <v>1240</v>
      </c>
      <c r="D44" s="7"/>
      <c r="E44" s="7"/>
      <c r="F44" s="7"/>
      <c r="G44" s="7"/>
      <c r="H44" s="7"/>
    </row>
    <row r="45" spans="2:8" x14ac:dyDescent="0.25">
      <c r="B45" s="7" t="s">
        <v>12</v>
      </c>
      <c r="C45" s="7" t="s">
        <v>38</v>
      </c>
      <c r="D45" s="7"/>
      <c r="E45" s="7"/>
      <c r="F45" s="7"/>
      <c r="G45" s="7"/>
      <c r="H45" s="7"/>
    </row>
    <row r="46" spans="2:8" x14ac:dyDescent="0.25">
      <c r="B46" s="7"/>
      <c r="C46" s="7" t="s">
        <v>125</v>
      </c>
      <c r="D46" s="7" t="s">
        <v>1467</v>
      </c>
      <c r="E46" s="7"/>
      <c r="F46" s="7"/>
      <c r="G46" s="7"/>
      <c r="H46" s="7"/>
    </row>
    <row r="47" spans="2:8" x14ac:dyDescent="0.25">
      <c r="B47" s="6"/>
      <c r="C47" s="11" t="s">
        <v>125</v>
      </c>
      <c r="D47" s="49" t="s">
        <v>1468</v>
      </c>
      <c r="E47" s="7"/>
      <c r="F47" s="7"/>
      <c r="G47" s="7"/>
      <c r="H47" s="7"/>
    </row>
    <row r="48" spans="2:8" x14ac:dyDescent="0.25">
      <c r="B48" s="6" t="s">
        <v>11</v>
      </c>
      <c r="C48" s="11"/>
      <c r="D48" s="11"/>
      <c r="E48" s="7"/>
      <c r="F48" s="7"/>
      <c r="G48" s="7"/>
      <c r="H48" s="7"/>
    </row>
    <row r="49" spans="2:11" x14ac:dyDescent="0.25">
      <c r="B49" s="6"/>
      <c r="C49" s="6"/>
      <c r="D49" s="7"/>
      <c r="E49" s="7"/>
      <c r="F49" s="7"/>
      <c r="G49" s="7"/>
      <c r="H49" s="7"/>
    </row>
    <row r="50" spans="2:11" x14ac:dyDescent="0.25">
      <c r="B50" s="11" t="s">
        <v>246</v>
      </c>
      <c r="C50" s="7" t="s">
        <v>1221</v>
      </c>
      <c r="D50" s="7" t="s">
        <v>1221</v>
      </c>
      <c r="E50" s="7"/>
      <c r="F50" s="7"/>
      <c r="G50" s="7"/>
      <c r="H50" s="7"/>
    </row>
    <row r="51" spans="2:11" x14ac:dyDescent="0.25">
      <c r="B51" s="7" t="s">
        <v>53</v>
      </c>
      <c r="C51" s="7" t="s">
        <v>1222</v>
      </c>
      <c r="D51" s="7"/>
      <c r="E51" s="7"/>
      <c r="F51" s="7"/>
      <c r="G51" s="7"/>
      <c r="H51" s="7"/>
    </row>
    <row r="52" spans="2:11" x14ac:dyDescent="0.25">
      <c r="B52" s="7" t="s">
        <v>12</v>
      </c>
      <c r="C52" s="7" t="s">
        <v>1237</v>
      </c>
      <c r="D52" s="7"/>
      <c r="E52" s="7"/>
      <c r="F52" s="7"/>
      <c r="G52" s="7"/>
      <c r="H52" s="7"/>
    </row>
    <row r="53" spans="2:11" x14ac:dyDescent="0.25">
      <c r="B53" s="6"/>
      <c r="C53" s="7" t="s">
        <v>1226</v>
      </c>
      <c r="D53" s="48" t="s">
        <v>44</v>
      </c>
      <c r="E53" s="7" t="s">
        <v>76</v>
      </c>
      <c r="F53" s="7"/>
      <c r="G53" s="7"/>
      <c r="H53" s="7"/>
    </row>
    <row r="54" spans="2:11" x14ac:dyDescent="0.25">
      <c r="B54" s="7" t="s">
        <v>11</v>
      </c>
      <c r="C54" s="7"/>
      <c r="D54" s="7"/>
      <c r="E54" s="7"/>
      <c r="F54" s="7"/>
      <c r="G54" s="7"/>
      <c r="H54" s="7"/>
    </row>
    <row r="55" spans="2:11" x14ac:dyDescent="0.25">
      <c r="B55" s="7" t="s">
        <v>1226</v>
      </c>
      <c r="C55" s="7" t="s">
        <v>1238</v>
      </c>
      <c r="D55" s="48" t="s">
        <v>1469</v>
      </c>
      <c r="E55" s="7"/>
      <c r="F55" s="7"/>
      <c r="G55" s="7"/>
      <c r="H55" s="7"/>
    </row>
    <row r="56" spans="2:11" x14ac:dyDescent="0.25">
      <c r="B56" s="6"/>
      <c r="C56" s="6"/>
      <c r="D56" s="6"/>
      <c r="E56" s="6"/>
      <c r="F56" s="6"/>
      <c r="G56" s="7"/>
      <c r="H56" s="7"/>
    </row>
    <row r="58" spans="2:11" x14ac:dyDescent="0.25">
      <c r="B58" s="4" t="s">
        <v>981</v>
      </c>
    </row>
    <row r="59" spans="2:11" x14ac:dyDescent="0.25">
      <c r="B59" s="4" t="s">
        <v>1241</v>
      </c>
      <c r="K59" s="4" t="s">
        <v>1485</v>
      </c>
    </row>
    <row r="60" spans="2:11" x14ac:dyDescent="0.25">
      <c r="B60" s="2" t="s">
        <v>1242</v>
      </c>
      <c r="C60" s="2"/>
      <c r="D60" s="2"/>
      <c r="E60" s="2"/>
      <c r="F60" s="2"/>
      <c r="K60" s="4" t="s">
        <v>1486</v>
      </c>
    </row>
    <row r="61" spans="2:11" x14ac:dyDescent="0.25">
      <c r="G61" s="4"/>
      <c r="H61" s="4"/>
      <c r="J61" s="4"/>
      <c r="K61" s="4" t="s">
        <v>1487</v>
      </c>
    </row>
    <row r="62" spans="2:11" x14ac:dyDescent="0.25">
      <c r="B62" s="4" t="s">
        <v>1243</v>
      </c>
      <c r="G62" s="4"/>
      <c r="H62" s="4"/>
      <c r="J62" s="4"/>
      <c r="K62" s="4" t="s">
        <v>1488</v>
      </c>
    </row>
    <row r="63" spans="2:11" x14ac:dyDescent="0.25">
      <c r="G63" s="4"/>
      <c r="H63" s="4"/>
      <c r="J63" s="4"/>
    </row>
    <row r="64" spans="2:11" x14ac:dyDescent="0.25">
      <c r="B64" s="4" t="s">
        <v>1244</v>
      </c>
      <c r="G64" s="4"/>
      <c r="J64" s="4"/>
    </row>
    <row r="65" spans="2:10" x14ac:dyDescent="0.25">
      <c r="B65" s="4" t="s">
        <v>1245</v>
      </c>
      <c r="G65" s="4"/>
      <c r="J65" s="4"/>
    </row>
    <row r="66" spans="2:10" x14ac:dyDescent="0.25">
      <c r="B66" s="4" t="s">
        <v>1246</v>
      </c>
      <c r="G66" s="4"/>
      <c r="J66" s="4"/>
    </row>
    <row r="67" spans="2:10" x14ac:dyDescent="0.25">
      <c r="B67" s="4" t="s">
        <v>1247</v>
      </c>
      <c r="G67" s="4"/>
      <c r="H67" s="4"/>
      <c r="J67" s="4"/>
    </row>
    <row r="68" spans="2:10" x14ac:dyDescent="0.25">
      <c r="B68" s="4" t="s">
        <v>1112</v>
      </c>
      <c r="G68" s="4"/>
      <c r="H68" s="4"/>
      <c r="J68" s="4"/>
    </row>
    <row r="69" spans="2:10" x14ac:dyDescent="0.25">
      <c r="B69" s="4" t="s">
        <v>1248</v>
      </c>
      <c r="G69" s="4"/>
      <c r="H69" s="4" t="s">
        <v>1489</v>
      </c>
      <c r="I69" s="4"/>
      <c r="J69" s="4"/>
    </row>
    <row r="70" spans="2:10" x14ac:dyDescent="0.25">
      <c r="B70" s="4" t="s">
        <v>1249</v>
      </c>
      <c r="G70" s="4"/>
      <c r="H70" s="4" t="s">
        <v>1490</v>
      </c>
      <c r="I70" s="4"/>
      <c r="J70" s="4"/>
    </row>
    <row r="71" spans="2:10" x14ac:dyDescent="0.25">
      <c r="B71" s="4" t="s">
        <v>1112</v>
      </c>
      <c r="G71" s="4"/>
      <c r="H71" s="4" t="s">
        <v>1491</v>
      </c>
      <c r="I71" s="4"/>
      <c r="J71" s="4"/>
    </row>
    <row r="72" spans="2:10" x14ac:dyDescent="0.25">
      <c r="B72" s="4" t="s">
        <v>1250</v>
      </c>
      <c r="G72" s="4"/>
      <c r="H72" s="4"/>
      <c r="I72" s="4"/>
      <c r="J72" s="4"/>
    </row>
    <row r="73" spans="2:10" x14ac:dyDescent="0.25">
      <c r="B73" s="4" t="s">
        <v>1251</v>
      </c>
      <c r="G73" s="4"/>
      <c r="H73" s="4"/>
      <c r="I73" s="4"/>
      <c r="J73" s="4"/>
    </row>
    <row r="74" spans="2:10" x14ac:dyDescent="0.25">
      <c r="B74" s="4" t="s">
        <v>1112</v>
      </c>
      <c r="G74" s="4"/>
      <c r="H74" s="4"/>
      <c r="I74" s="4"/>
      <c r="J74" s="4"/>
    </row>
    <row r="75" spans="2:10" x14ac:dyDescent="0.25">
      <c r="B75" s="4" t="s">
        <v>1113</v>
      </c>
      <c r="G75" s="4"/>
      <c r="H75" s="4"/>
      <c r="I75" s="4"/>
      <c r="J75" s="4"/>
    </row>
    <row r="78" spans="2:10" x14ac:dyDescent="0.25">
      <c r="B78" s="4" t="s">
        <v>1099</v>
      </c>
    </row>
    <row r="79" spans="2:10" x14ac:dyDescent="0.25">
      <c r="B79" s="4" t="s">
        <v>1492</v>
      </c>
    </row>
    <row r="80" spans="2:10" x14ac:dyDescent="0.25">
      <c r="B80" s="4" t="s">
        <v>1497</v>
      </c>
    </row>
    <row r="82" spans="2:2" x14ac:dyDescent="0.25">
      <c r="B82" s="4" t="s">
        <v>1493</v>
      </c>
    </row>
    <row r="83" spans="2:2" x14ac:dyDescent="0.25">
      <c r="B83" s="4" t="s">
        <v>1498</v>
      </c>
    </row>
    <row r="85" spans="2:2" x14ac:dyDescent="0.25">
      <c r="B85" s="4" t="s">
        <v>1494</v>
      </c>
    </row>
    <row r="86" spans="2:2" x14ac:dyDescent="0.25">
      <c r="B86" s="4" t="s">
        <v>1499</v>
      </c>
    </row>
    <row r="87" spans="2:2" x14ac:dyDescent="0.25">
      <c r="B87" s="4" t="s">
        <v>1500</v>
      </c>
    </row>
    <row r="88" spans="2:2" x14ac:dyDescent="0.25">
      <c r="B88" s="4" t="s">
        <v>1501</v>
      </c>
    </row>
    <row r="89" spans="2:2" x14ac:dyDescent="0.25">
      <c r="B89" s="4" t="s">
        <v>1502</v>
      </c>
    </row>
    <row r="91" spans="2:2" x14ac:dyDescent="0.25">
      <c r="B91" s="4" t="s">
        <v>1496</v>
      </c>
    </row>
    <row r="92" spans="2:2" x14ac:dyDescent="0.25">
      <c r="B92" s="4" t="s">
        <v>1503</v>
      </c>
    </row>
    <row r="93" spans="2:2" x14ac:dyDescent="0.25">
      <c r="B93" s="4" t="s">
        <v>1504</v>
      </c>
    </row>
    <row r="94" spans="2:2" x14ac:dyDescent="0.25">
      <c r="B94" s="4" t="s">
        <v>1505</v>
      </c>
    </row>
    <row r="95" spans="2:2" x14ac:dyDescent="0.25">
      <c r="B95" s="4" t="s">
        <v>1506</v>
      </c>
    </row>
    <row r="96" spans="2:2" x14ac:dyDescent="0.25">
      <c r="B96" s="4" t="s">
        <v>1507</v>
      </c>
    </row>
    <row r="97" spans="1:3" x14ac:dyDescent="0.25">
      <c r="B97" s="4" t="s">
        <v>1508</v>
      </c>
    </row>
    <row r="99" spans="1:3" x14ac:dyDescent="0.25">
      <c r="B99" s="4" t="s">
        <v>1509</v>
      </c>
    </row>
    <row r="100" spans="1:3" x14ac:dyDescent="0.25">
      <c r="B100" s="4" t="s">
        <v>1510</v>
      </c>
    </row>
    <row r="103" spans="1:3" x14ac:dyDescent="0.25">
      <c r="A103" s="3" t="s">
        <v>1511</v>
      </c>
    </row>
    <row r="104" spans="1:3" x14ac:dyDescent="0.25">
      <c r="B104" s="4" t="s">
        <v>1512</v>
      </c>
    </row>
    <row r="105" spans="1:3" x14ac:dyDescent="0.25">
      <c r="B105" s="4" t="s">
        <v>1513</v>
      </c>
    </row>
    <row r="106" spans="1:3" x14ac:dyDescent="0.25">
      <c r="B106" s="4" t="s">
        <v>1514</v>
      </c>
    </row>
    <row r="107" spans="1:3" x14ac:dyDescent="0.25">
      <c r="B107" s="4" t="s">
        <v>1515</v>
      </c>
    </row>
    <row r="108" spans="1:3" x14ac:dyDescent="0.25">
      <c r="B108" s="4" t="s">
        <v>1516</v>
      </c>
    </row>
    <row r="111" spans="1:3" x14ac:dyDescent="0.25">
      <c r="A111" s="3" t="s">
        <v>1517</v>
      </c>
    </row>
    <row r="112" spans="1:3" x14ac:dyDescent="0.25">
      <c r="B112" s="6" t="s">
        <v>1518</v>
      </c>
      <c r="C112" s="6" t="s">
        <v>1519</v>
      </c>
    </row>
    <row r="113" spans="2:3" x14ac:dyDescent="0.25">
      <c r="B113" s="6" t="s">
        <v>1174</v>
      </c>
      <c r="C113" s="6" t="s">
        <v>1520</v>
      </c>
    </row>
    <row r="114" spans="2:3" x14ac:dyDescent="0.25">
      <c r="B114" s="6" t="s">
        <v>453</v>
      </c>
      <c r="C114" s="6" t="s">
        <v>1521</v>
      </c>
    </row>
    <row r="115" spans="2:3" x14ac:dyDescent="0.25">
      <c r="B115" s="6" t="s">
        <v>1522</v>
      </c>
      <c r="C115" s="6" t="s">
        <v>1523</v>
      </c>
    </row>
    <row r="116" spans="2:3" x14ac:dyDescent="0.25">
      <c r="B116" s="6" t="s">
        <v>1524</v>
      </c>
      <c r="C116" s="6" t="s">
        <v>1525</v>
      </c>
    </row>
    <row r="117" spans="2:3" x14ac:dyDescent="0.25">
      <c r="B117" s="6" t="s">
        <v>1526</v>
      </c>
      <c r="C117" s="6" t="s">
        <v>1527</v>
      </c>
    </row>
    <row r="118" spans="2:3" x14ac:dyDescent="0.25">
      <c r="B118" s="6" t="s">
        <v>1528</v>
      </c>
      <c r="C118" s="6" t="s">
        <v>1529</v>
      </c>
    </row>
  </sheetData>
  <phoneticPr fontId="1"/>
  <pageMargins left="0.75" right="0.35" top="1" bottom="1" header="0.51200000000000001" footer="0.51200000000000001"/>
  <pageSetup paperSize="9" scale="8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67DD-F38A-4505-87D1-30E1300B886D}">
  <dimension ref="A1:F51"/>
  <sheetViews>
    <sheetView topLeftCell="A21" zoomScaleNormal="100" workbookViewId="0">
      <selection activeCell="B26" sqref="B26"/>
    </sheetView>
  </sheetViews>
  <sheetFormatPr defaultRowHeight="15.75" x14ac:dyDescent="0.25"/>
  <cols>
    <col min="1" max="1" width="3.25" style="3" customWidth="1"/>
    <col min="2" max="2" width="25.625" style="4" customWidth="1"/>
    <col min="3" max="3" width="35.125" style="4" customWidth="1"/>
    <col min="4" max="4" width="38.25" style="4" customWidth="1"/>
    <col min="5" max="5" width="21.75" style="4" customWidth="1"/>
    <col min="6" max="6" width="9" style="4"/>
    <col min="7" max="16384" width="9" style="2"/>
  </cols>
  <sheetData>
    <row r="1" spans="1:6" s="3" customFormat="1" ht="19.5" x14ac:dyDescent="0.3">
      <c r="A1" s="1" t="s">
        <v>1530</v>
      </c>
      <c r="B1" s="4"/>
      <c r="C1" s="4"/>
      <c r="D1" s="4"/>
      <c r="E1" s="4"/>
      <c r="F1" s="5"/>
    </row>
    <row r="3" spans="1:6" x14ac:dyDescent="0.25">
      <c r="A3" s="3" t="s">
        <v>1550</v>
      </c>
    </row>
    <row r="4" spans="1:6" x14ac:dyDescent="0.25">
      <c r="B4" s="4" t="s">
        <v>1454</v>
      </c>
    </row>
    <row r="5" spans="1:6" x14ac:dyDescent="0.25">
      <c r="B5" s="6" t="s">
        <v>343</v>
      </c>
      <c r="C5" s="6" t="s">
        <v>1533</v>
      </c>
      <c r="D5" s="6" t="s">
        <v>1534</v>
      </c>
    </row>
    <row r="7" spans="1:6" x14ac:dyDescent="0.25">
      <c r="B7" s="4" t="s">
        <v>1535</v>
      </c>
    </row>
    <row r="8" spans="1:6" x14ac:dyDescent="0.25">
      <c r="B8" s="4" t="s">
        <v>1536</v>
      </c>
    </row>
    <row r="9" spans="1:6" x14ac:dyDescent="0.25">
      <c r="B9" s="4" t="s">
        <v>1537</v>
      </c>
    </row>
    <row r="10" spans="1:6" x14ac:dyDescent="0.25">
      <c r="B10" s="4" t="s">
        <v>1538</v>
      </c>
    </row>
    <row r="13" spans="1:6" x14ac:dyDescent="0.25">
      <c r="B13" s="4" t="s">
        <v>1099</v>
      </c>
    </row>
    <row r="14" spans="1:6" x14ac:dyDescent="0.25">
      <c r="B14" s="4" t="s">
        <v>1539</v>
      </c>
    </row>
    <row r="15" spans="1:6" x14ac:dyDescent="0.25">
      <c r="B15" s="4" t="s">
        <v>1540</v>
      </c>
    </row>
    <row r="17" spans="2:4" x14ac:dyDescent="0.25">
      <c r="B17" s="4" t="s">
        <v>1541</v>
      </c>
    </row>
    <row r="19" spans="2:4" x14ac:dyDescent="0.25">
      <c r="B19" s="4" t="s">
        <v>1542</v>
      </c>
    </row>
    <row r="20" spans="2:4" x14ac:dyDescent="0.25">
      <c r="B20" s="4" t="s">
        <v>1543</v>
      </c>
    </row>
    <row r="23" spans="2:4" x14ac:dyDescent="0.25">
      <c r="B23" s="4" t="s">
        <v>1544</v>
      </c>
    </row>
    <row r="24" spans="2:4" x14ac:dyDescent="0.25">
      <c r="B24" s="6" t="s">
        <v>343</v>
      </c>
      <c r="C24" s="6" t="s">
        <v>1531</v>
      </c>
      <c r="D24" s="6" t="s">
        <v>1532</v>
      </c>
    </row>
    <row r="26" spans="2:4" x14ac:dyDescent="0.25">
      <c r="B26" s="4" t="s">
        <v>981</v>
      </c>
    </row>
    <row r="27" spans="2:4" x14ac:dyDescent="0.25">
      <c r="B27" s="4" t="s">
        <v>1545</v>
      </c>
    </row>
    <row r="29" spans="2:4" x14ac:dyDescent="0.25">
      <c r="B29" s="4" t="s">
        <v>1549</v>
      </c>
    </row>
    <row r="30" spans="2:4" x14ac:dyDescent="0.25">
      <c r="B30" s="4" t="s">
        <v>1546</v>
      </c>
    </row>
    <row r="31" spans="2:4" x14ac:dyDescent="0.25">
      <c r="B31" s="4" t="s">
        <v>1547</v>
      </c>
    </row>
    <row r="32" spans="2:4" x14ac:dyDescent="0.25">
      <c r="B32" s="4" t="s">
        <v>1548</v>
      </c>
    </row>
    <row r="35" spans="1:3" x14ac:dyDescent="0.25">
      <c r="A35" s="3" t="s">
        <v>1551</v>
      </c>
    </row>
    <row r="36" spans="1:3" x14ac:dyDescent="0.25">
      <c r="B36" s="4" t="s">
        <v>1552</v>
      </c>
    </row>
    <row r="37" spans="1:3" x14ac:dyDescent="0.25">
      <c r="B37" s="4" t="s">
        <v>1553</v>
      </c>
    </row>
    <row r="39" spans="1:3" x14ac:dyDescent="0.25">
      <c r="B39" s="4" t="s">
        <v>1554</v>
      </c>
    </row>
    <row r="40" spans="1:3" x14ac:dyDescent="0.25">
      <c r="B40" s="4" t="s">
        <v>1555</v>
      </c>
    </row>
    <row r="42" spans="1:3" x14ac:dyDescent="0.25">
      <c r="B42" s="4" t="s">
        <v>1556</v>
      </c>
    </row>
    <row r="43" spans="1:3" x14ac:dyDescent="0.25">
      <c r="B43" s="4" t="s">
        <v>1557</v>
      </c>
    </row>
    <row r="46" spans="1:3" x14ac:dyDescent="0.25">
      <c r="A46" s="3" t="s">
        <v>1558</v>
      </c>
    </row>
    <row r="47" spans="1:3" x14ac:dyDescent="0.25">
      <c r="B47" s="6" t="s">
        <v>1518</v>
      </c>
      <c r="C47" s="6" t="s">
        <v>1519</v>
      </c>
    </row>
    <row r="48" spans="1:3" x14ac:dyDescent="0.25">
      <c r="B48" s="6" t="s">
        <v>1559</v>
      </c>
      <c r="C48" s="6" t="s">
        <v>1560</v>
      </c>
    </row>
    <row r="49" spans="2:3" x14ac:dyDescent="0.25">
      <c r="B49" s="6" t="s">
        <v>1561</v>
      </c>
      <c r="C49" s="6" t="s">
        <v>1562</v>
      </c>
    </row>
    <row r="50" spans="2:3" x14ac:dyDescent="0.25">
      <c r="B50" s="6" t="s">
        <v>1563</v>
      </c>
      <c r="C50" s="6" t="s">
        <v>1564</v>
      </c>
    </row>
    <row r="51" spans="2:3" x14ac:dyDescent="0.25">
      <c r="B51" s="6" t="s">
        <v>1528</v>
      </c>
      <c r="C51" s="6" t="s">
        <v>1565</v>
      </c>
    </row>
  </sheetData>
  <phoneticPr fontId="1"/>
  <pageMargins left="0.75" right="0.35" top="1" bottom="1" header="0.51200000000000001" footer="0.51200000000000001"/>
  <pageSetup paperSize="9" scale="8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190C8-1052-4A51-98B0-8FAB39404D02}">
  <dimension ref="A1:F84"/>
  <sheetViews>
    <sheetView topLeftCell="A66" zoomScaleNormal="100" workbookViewId="0">
      <selection activeCell="H91" sqref="H91"/>
    </sheetView>
  </sheetViews>
  <sheetFormatPr defaultRowHeight="15.75" x14ac:dyDescent="0.25"/>
  <cols>
    <col min="1" max="1" width="3.25" style="5" customWidth="1"/>
    <col min="2" max="2" width="19.875" style="4" customWidth="1"/>
    <col min="3" max="3" width="33.875" style="4" customWidth="1"/>
    <col min="4" max="4" width="17.375" style="4" customWidth="1"/>
    <col min="5" max="5" width="21.75" style="4" customWidth="1"/>
    <col min="6" max="6" width="13.625" style="4" bestFit="1" customWidth="1"/>
    <col min="7" max="16384" width="9" style="4"/>
  </cols>
  <sheetData>
    <row r="1" spans="1:6" s="5" customFormat="1" ht="19.5" x14ac:dyDescent="0.3">
      <c r="A1" s="28" t="s">
        <v>1566</v>
      </c>
      <c r="B1" s="4"/>
      <c r="C1" s="4"/>
      <c r="D1" s="4"/>
      <c r="E1" s="4"/>
    </row>
    <row r="3" spans="1:6" x14ac:dyDescent="0.25">
      <c r="A3" s="5" t="s">
        <v>1567</v>
      </c>
    </row>
    <row r="4" spans="1:6" x14ac:dyDescent="0.25">
      <c r="B4" s="4" t="s">
        <v>1454</v>
      </c>
    </row>
    <row r="5" spans="1:6" x14ac:dyDescent="0.25">
      <c r="B5" s="6" t="s">
        <v>346</v>
      </c>
      <c r="C5" s="6" t="s">
        <v>1174</v>
      </c>
      <c r="D5" s="6" t="s">
        <v>1568</v>
      </c>
      <c r="E5" s="20"/>
      <c r="F5" s="20"/>
    </row>
    <row r="7" spans="1:6" x14ac:dyDescent="0.25">
      <c r="B7" s="4" t="s">
        <v>1569</v>
      </c>
    </row>
    <row r="8" spans="1:6" x14ac:dyDescent="0.25">
      <c r="B8" s="4" t="s">
        <v>1570</v>
      </c>
    </row>
    <row r="9" spans="1:6" x14ac:dyDescent="0.25">
      <c r="B9" s="4" t="s">
        <v>1571</v>
      </c>
    </row>
    <row r="10" spans="1:6" x14ac:dyDescent="0.25">
      <c r="B10" s="4" t="s">
        <v>1572</v>
      </c>
    </row>
    <row r="13" spans="1:6" x14ac:dyDescent="0.25">
      <c r="B13" s="5" t="s">
        <v>1099</v>
      </c>
    </row>
    <row r="14" spans="1:6" x14ac:dyDescent="0.25">
      <c r="B14" s="4" t="s">
        <v>1573</v>
      </c>
    </row>
    <row r="15" spans="1:6" x14ac:dyDescent="0.25">
      <c r="B15" s="4" t="s">
        <v>1574</v>
      </c>
    </row>
    <row r="17" spans="2:6" x14ac:dyDescent="0.25">
      <c r="B17" s="4" t="s">
        <v>1575</v>
      </c>
    </row>
    <row r="18" spans="2:6" x14ac:dyDescent="0.25">
      <c r="B18" s="4" t="s">
        <v>1576</v>
      </c>
    </row>
    <row r="19" spans="2:6" x14ac:dyDescent="0.25">
      <c r="B19" s="4" t="s">
        <v>1577</v>
      </c>
    </row>
    <row r="20" spans="2:6" x14ac:dyDescent="0.25">
      <c r="B20" s="4" t="s">
        <v>1191</v>
      </c>
    </row>
    <row r="22" spans="2:6" x14ac:dyDescent="0.25">
      <c r="B22" s="4" t="s">
        <v>1578</v>
      </c>
    </row>
    <row r="25" spans="2:6" x14ac:dyDescent="0.25">
      <c r="B25" s="4" t="s">
        <v>1159</v>
      </c>
    </row>
    <row r="26" spans="2:6" x14ac:dyDescent="0.25">
      <c r="B26" s="6" t="s">
        <v>343</v>
      </c>
      <c r="C26" s="6" t="s">
        <v>1579</v>
      </c>
      <c r="D26" s="6">
        <v>32</v>
      </c>
      <c r="E26" s="6" t="s">
        <v>514</v>
      </c>
      <c r="F26" s="6" t="s">
        <v>1580</v>
      </c>
    </row>
    <row r="27" spans="2:6" x14ac:dyDescent="0.25">
      <c r="B27" s="6" t="s">
        <v>346</v>
      </c>
      <c r="C27" s="6" t="s">
        <v>1579</v>
      </c>
      <c r="D27" s="6" t="s">
        <v>1581</v>
      </c>
      <c r="E27" s="6"/>
      <c r="F27" s="6"/>
    </row>
    <row r="30" spans="2:6" x14ac:dyDescent="0.25">
      <c r="B30" s="4" t="s">
        <v>981</v>
      </c>
    </row>
    <row r="31" spans="2:6" x14ac:dyDescent="0.25">
      <c r="B31" s="4" t="s">
        <v>1582</v>
      </c>
    </row>
    <row r="32" spans="2:6" x14ac:dyDescent="0.25">
      <c r="B32" s="4" t="s">
        <v>1246</v>
      </c>
    </row>
    <row r="33" spans="2:2" x14ac:dyDescent="0.25">
      <c r="B33" s="4" t="s">
        <v>1583</v>
      </c>
    </row>
    <row r="34" spans="2:2" x14ac:dyDescent="0.25">
      <c r="B34" s="4" t="s">
        <v>1112</v>
      </c>
    </row>
    <row r="35" spans="2:2" x14ac:dyDescent="0.25">
      <c r="B35" s="4" t="s">
        <v>1253</v>
      </c>
    </row>
    <row r="36" spans="2:2" x14ac:dyDescent="0.25">
      <c r="B36" s="4" t="s">
        <v>1584</v>
      </c>
    </row>
    <row r="37" spans="2:2" x14ac:dyDescent="0.25">
      <c r="B37" s="4" t="s">
        <v>1112</v>
      </c>
    </row>
    <row r="38" spans="2:2" x14ac:dyDescent="0.25">
      <c r="B38" s="4" t="s">
        <v>1191</v>
      </c>
    </row>
    <row r="41" spans="2:2" x14ac:dyDescent="0.25">
      <c r="B41" s="4" t="s">
        <v>1585</v>
      </c>
    </row>
    <row r="42" spans="2:2" x14ac:dyDescent="0.25">
      <c r="B42" s="4" t="s">
        <v>1586</v>
      </c>
    </row>
    <row r="43" spans="2:2" x14ac:dyDescent="0.25">
      <c r="B43" s="4" t="s">
        <v>1587</v>
      </c>
    </row>
    <row r="45" spans="2:2" x14ac:dyDescent="0.25">
      <c r="B45" s="4" t="s">
        <v>1588</v>
      </c>
    </row>
    <row r="47" spans="2:2" x14ac:dyDescent="0.25">
      <c r="B47" s="4" t="s">
        <v>1589</v>
      </c>
    </row>
    <row r="48" spans="2:2" x14ac:dyDescent="0.25">
      <c r="B48" s="4" t="s">
        <v>1495</v>
      </c>
    </row>
    <row r="49" spans="2:2" x14ac:dyDescent="0.25">
      <c r="B49" s="4" t="s">
        <v>1590</v>
      </c>
    </row>
    <row r="50" spans="2:2" x14ac:dyDescent="0.25">
      <c r="B50" s="4" t="s">
        <v>1591</v>
      </c>
    </row>
    <row r="52" spans="2:2" x14ac:dyDescent="0.25">
      <c r="B52" s="4" t="s">
        <v>1592</v>
      </c>
    </row>
    <row r="53" spans="2:2" x14ac:dyDescent="0.25">
      <c r="B53" s="4" t="s">
        <v>1593</v>
      </c>
    </row>
    <row r="55" spans="2:2" x14ac:dyDescent="0.25">
      <c r="B55" s="4" t="s">
        <v>1594</v>
      </c>
    </row>
    <row r="56" spans="2:2" x14ac:dyDescent="0.25">
      <c r="B56" s="4" t="s">
        <v>1595</v>
      </c>
    </row>
    <row r="57" spans="2:2" x14ac:dyDescent="0.25">
      <c r="B57" s="4" t="s">
        <v>1191</v>
      </c>
    </row>
    <row r="58" spans="2:2" x14ac:dyDescent="0.25">
      <c r="B58" s="4" t="s">
        <v>1596</v>
      </c>
    </row>
    <row r="59" spans="2:2" x14ac:dyDescent="0.25">
      <c r="B59" s="4" t="s">
        <v>1597</v>
      </c>
    </row>
    <row r="60" spans="2:2" x14ac:dyDescent="0.25">
      <c r="B60" s="4" t="s">
        <v>1191</v>
      </c>
    </row>
    <row r="61" spans="2:2" x14ac:dyDescent="0.25">
      <c r="B61" s="4" t="s">
        <v>1598</v>
      </c>
    </row>
    <row r="63" spans="2:2" x14ac:dyDescent="0.25">
      <c r="B63" s="4" t="s">
        <v>1599</v>
      </c>
    </row>
    <row r="64" spans="2:2" x14ac:dyDescent="0.25">
      <c r="B64" s="4" t="s">
        <v>1600</v>
      </c>
    </row>
    <row r="66" spans="1:3" x14ac:dyDescent="0.25">
      <c r="B66" s="4" t="s">
        <v>1601</v>
      </c>
    </row>
    <row r="68" spans="1:3" x14ac:dyDescent="0.25">
      <c r="B68" s="4" t="s">
        <v>1602</v>
      </c>
    </row>
    <row r="71" spans="1:3" x14ac:dyDescent="0.25">
      <c r="B71" s="4" t="s">
        <v>1607</v>
      </c>
    </row>
    <row r="72" spans="1:3" x14ac:dyDescent="0.25">
      <c r="B72" s="4" t="s">
        <v>1603</v>
      </c>
    </row>
    <row r="73" spans="1:3" x14ac:dyDescent="0.25">
      <c r="B73" s="4" t="s">
        <v>1604</v>
      </c>
    </row>
    <row r="74" spans="1:3" x14ac:dyDescent="0.25">
      <c r="B74" s="4" t="s">
        <v>1605</v>
      </c>
    </row>
    <row r="75" spans="1:3" x14ac:dyDescent="0.25">
      <c r="B75" s="4" t="s">
        <v>1606</v>
      </c>
    </row>
    <row r="78" spans="1:3" x14ac:dyDescent="0.25">
      <c r="A78" s="5" t="s">
        <v>1608</v>
      </c>
    </row>
    <row r="79" spans="1:3" x14ac:dyDescent="0.25">
      <c r="B79" s="6" t="s">
        <v>1518</v>
      </c>
      <c r="C79" s="6" t="s">
        <v>1519</v>
      </c>
    </row>
    <row r="80" spans="1:3" x14ac:dyDescent="0.25">
      <c r="B80" s="6" t="s">
        <v>1559</v>
      </c>
      <c r="C80" s="6" t="s">
        <v>1609</v>
      </c>
    </row>
    <row r="81" spans="2:3" x14ac:dyDescent="0.25">
      <c r="B81" s="6" t="s">
        <v>1563</v>
      </c>
      <c r="C81" s="6" t="s">
        <v>1610</v>
      </c>
    </row>
    <row r="82" spans="2:3" x14ac:dyDescent="0.25">
      <c r="B82" s="6" t="s">
        <v>1611</v>
      </c>
      <c r="C82" s="6" t="s">
        <v>1612</v>
      </c>
    </row>
    <row r="83" spans="2:3" x14ac:dyDescent="0.25">
      <c r="B83" s="6" t="s">
        <v>1528</v>
      </c>
      <c r="C83" s="6" t="s">
        <v>1613</v>
      </c>
    </row>
    <row r="84" spans="2:3" x14ac:dyDescent="0.25">
      <c r="B84" s="6" t="s">
        <v>1614</v>
      </c>
      <c r="C84" s="6" t="s">
        <v>1615</v>
      </c>
    </row>
  </sheetData>
  <phoneticPr fontId="1"/>
  <pageMargins left="0.75" right="0.35" top="1" bottom="1" header="0.51200000000000001" footer="0.51200000000000001"/>
  <pageSetup paperSize="9" scale="8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0FB5-E594-4B45-B429-8B745E5550CA}">
  <dimension ref="A1:M86"/>
  <sheetViews>
    <sheetView zoomScaleNormal="100" workbookViewId="0">
      <selection activeCell="E99" sqref="E99"/>
    </sheetView>
  </sheetViews>
  <sheetFormatPr defaultRowHeight="15.75" x14ac:dyDescent="0.25"/>
  <cols>
    <col min="1" max="1" width="3.25" style="3" customWidth="1"/>
    <col min="2" max="2" width="25.625" style="4" customWidth="1"/>
    <col min="3" max="3" width="30.5" style="4" bestFit="1" customWidth="1"/>
    <col min="4" max="4" width="38.25" style="4" customWidth="1"/>
    <col min="5" max="5" width="21.75" style="4" customWidth="1"/>
    <col min="6" max="6" width="9" style="4"/>
    <col min="7" max="16384" width="9" style="2"/>
  </cols>
  <sheetData>
    <row r="1" spans="1:6" s="3" customFormat="1" ht="19.5" x14ac:dyDescent="0.3">
      <c r="A1" s="1" t="s">
        <v>1619</v>
      </c>
      <c r="B1" s="4"/>
      <c r="C1" s="4"/>
      <c r="D1" s="4"/>
      <c r="E1" s="4"/>
      <c r="F1" s="5"/>
    </row>
    <row r="3" spans="1:6" x14ac:dyDescent="0.25">
      <c r="A3" s="3" t="s">
        <v>1620</v>
      </c>
    </row>
    <row r="4" spans="1:6" x14ac:dyDescent="0.25">
      <c r="B4" s="4" t="s">
        <v>1622</v>
      </c>
    </row>
    <row r="5" spans="1:6" x14ac:dyDescent="0.25">
      <c r="B5" s="4" t="s">
        <v>1623</v>
      </c>
    </row>
    <row r="6" spans="1:6" x14ac:dyDescent="0.25">
      <c r="B6" s="4" t="s">
        <v>1624</v>
      </c>
    </row>
    <row r="8" spans="1:6" x14ac:dyDescent="0.25">
      <c r="B8" s="4" t="s">
        <v>1625</v>
      </c>
    </row>
    <row r="9" spans="1:6" x14ac:dyDescent="0.25">
      <c r="B9" s="4" t="s">
        <v>1626</v>
      </c>
    </row>
    <row r="11" spans="1:6" x14ac:dyDescent="0.25">
      <c r="B11" s="4" t="s">
        <v>1621</v>
      </c>
    </row>
    <row r="12" spans="1:6" x14ac:dyDescent="0.25">
      <c r="B12" s="4" t="s">
        <v>1627</v>
      </c>
    </row>
    <row r="13" spans="1:6" x14ac:dyDescent="0.25">
      <c r="B13" s="4" t="s">
        <v>1628</v>
      </c>
    </row>
    <row r="14" spans="1:6" x14ac:dyDescent="0.25">
      <c r="B14" s="4" t="s">
        <v>1629</v>
      </c>
    </row>
    <row r="17" spans="1:5" x14ac:dyDescent="0.25">
      <c r="A17" s="3" t="s">
        <v>1630</v>
      </c>
    </row>
    <row r="18" spans="1:5" x14ac:dyDescent="0.25">
      <c r="B18" s="6" t="s">
        <v>337</v>
      </c>
      <c r="C18" s="6" t="s">
        <v>1631</v>
      </c>
      <c r="D18" s="6">
        <v>32</v>
      </c>
      <c r="E18" s="6"/>
    </row>
    <row r="19" spans="1:5" x14ac:dyDescent="0.25">
      <c r="B19" s="6" t="s">
        <v>343</v>
      </c>
      <c r="C19" s="6" t="s">
        <v>1632</v>
      </c>
      <c r="D19" s="6">
        <v>32</v>
      </c>
      <c r="E19" s="6" t="s">
        <v>514</v>
      </c>
    </row>
    <row r="20" spans="1:5" x14ac:dyDescent="0.25">
      <c r="B20" s="6" t="s">
        <v>343</v>
      </c>
      <c r="C20" s="6" t="s">
        <v>1256</v>
      </c>
      <c r="D20" s="6">
        <v>32</v>
      </c>
      <c r="E20" s="6" t="s">
        <v>514</v>
      </c>
    </row>
    <row r="21" spans="1:5" x14ac:dyDescent="0.25">
      <c r="B21" s="6" t="s">
        <v>343</v>
      </c>
      <c r="C21" s="6" t="s">
        <v>1257</v>
      </c>
      <c r="D21" s="6">
        <v>32</v>
      </c>
      <c r="E21" s="6" t="s">
        <v>514</v>
      </c>
    </row>
    <row r="22" spans="1:5" x14ac:dyDescent="0.25">
      <c r="B22" s="6" t="s">
        <v>433</v>
      </c>
      <c r="C22" s="6" t="s">
        <v>1127</v>
      </c>
      <c r="D22" s="6" t="s">
        <v>514</v>
      </c>
      <c r="E22" s="6"/>
    </row>
    <row r="23" spans="1:5" x14ac:dyDescent="0.25">
      <c r="B23" s="6" t="s">
        <v>1</v>
      </c>
      <c r="C23" s="6" t="s">
        <v>1129</v>
      </c>
      <c r="D23" s="6"/>
      <c r="E23" s="6"/>
    </row>
    <row r="24" spans="1:5" x14ac:dyDescent="0.25">
      <c r="B24" s="6" t="s">
        <v>2</v>
      </c>
      <c r="C24" s="6" t="s">
        <v>1633</v>
      </c>
      <c r="D24" s="6"/>
      <c r="E24" s="6"/>
    </row>
    <row r="25" spans="1:5" x14ac:dyDescent="0.25">
      <c r="B25" s="6"/>
      <c r="C25" s="6" t="s">
        <v>2</v>
      </c>
      <c r="D25" s="6" t="s">
        <v>1634</v>
      </c>
      <c r="E25" s="6"/>
    </row>
    <row r="26" spans="1:5" x14ac:dyDescent="0.25">
      <c r="B26" s="6"/>
      <c r="C26" s="6"/>
      <c r="D26" s="6" t="s">
        <v>449</v>
      </c>
      <c r="E26" s="6" t="s">
        <v>1635</v>
      </c>
    </row>
    <row r="27" spans="1:5" x14ac:dyDescent="0.25">
      <c r="B27" s="6"/>
      <c r="C27" s="6"/>
      <c r="D27" s="6" t="s">
        <v>7</v>
      </c>
      <c r="E27" s="6" t="s">
        <v>1636</v>
      </c>
    </row>
    <row r="28" spans="1:5" x14ac:dyDescent="0.25">
      <c r="B28" s="6"/>
      <c r="C28" s="6" t="s">
        <v>3</v>
      </c>
      <c r="D28" s="6"/>
      <c r="E28" s="6"/>
    </row>
    <row r="29" spans="1:5" x14ac:dyDescent="0.25">
      <c r="B29" s="6" t="s">
        <v>3</v>
      </c>
      <c r="C29" s="6"/>
      <c r="D29" s="6"/>
      <c r="E29" s="6"/>
    </row>
    <row r="30" spans="1:5" x14ac:dyDescent="0.25">
      <c r="B30" s="6" t="s">
        <v>1</v>
      </c>
      <c r="C30" s="6" t="s">
        <v>1636</v>
      </c>
      <c r="D30" s="6"/>
      <c r="E30" s="6"/>
    </row>
    <row r="31" spans="1:5" x14ac:dyDescent="0.25">
      <c r="B31" s="6" t="s">
        <v>2</v>
      </c>
      <c r="C31" s="6" t="s">
        <v>1633</v>
      </c>
      <c r="D31" s="6"/>
      <c r="E31" s="6"/>
    </row>
    <row r="32" spans="1:5" x14ac:dyDescent="0.25">
      <c r="B32" s="6"/>
      <c r="C32" s="6" t="s">
        <v>449</v>
      </c>
      <c r="D32" s="6" t="s">
        <v>1637</v>
      </c>
      <c r="E32" s="6"/>
    </row>
    <row r="33" spans="2:5" x14ac:dyDescent="0.25">
      <c r="B33" s="6"/>
      <c r="C33" s="6" t="s">
        <v>6</v>
      </c>
      <c r="D33" s="6" t="s">
        <v>1638</v>
      </c>
      <c r="E33" s="6"/>
    </row>
    <row r="34" spans="2:5" x14ac:dyDescent="0.25">
      <c r="B34" s="6" t="s">
        <v>3</v>
      </c>
      <c r="C34" s="6"/>
      <c r="D34" s="6"/>
      <c r="E34" s="6"/>
    </row>
    <row r="35" spans="2:5" x14ac:dyDescent="0.25">
      <c r="B35" s="6"/>
      <c r="C35" s="6"/>
      <c r="D35" s="6"/>
      <c r="E35" s="6"/>
    </row>
    <row r="36" spans="2:5" x14ac:dyDescent="0.25">
      <c r="B36" s="6" t="s">
        <v>1</v>
      </c>
      <c r="C36" s="6" t="s">
        <v>1638</v>
      </c>
      <c r="D36" s="6"/>
      <c r="E36" s="6"/>
    </row>
    <row r="37" spans="2:5" x14ac:dyDescent="0.25">
      <c r="B37" s="6" t="s">
        <v>2</v>
      </c>
      <c r="C37" s="6" t="s">
        <v>1639</v>
      </c>
      <c r="D37" s="6"/>
      <c r="E37" s="6"/>
    </row>
    <row r="38" spans="2:5" x14ac:dyDescent="0.25">
      <c r="B38" s="6"/>
      <c r="C38" s="6" t="s">
        <v>449</v>
      </c>
      <c r="D38" s="6" t="s">
        <v>1640</v>
      </c>
      <c r="E38" s="6"/>
    </row>
    <row r="39" spans="2:5" x14ac:dyDescent="0.25">
      <c r="B39" s="6"/>
      <c r="C39" s="6" t="s">
        <v>8</v>
      </c>
      <c r="D39" s="6" t="s">
        <v>1638</v>
      </c>
      <c r="E39" s="6"/>
    </row>
    <row r="40" spans="2:5" x14ac:dyDescent="0.25">
      <c r="B40" s="6" t="s">
        <v>3</v>
      </c>
      <c r="C40" s="6"/>
      <c r="D40" s="6"/>
      <c r="E40" s="6"/>
    </row>
    <row r="43" spans="2:5" x14ac:dyDescent="0.25">
      <c r="B43" s="4" t="s">
        <v>1646</v>
      </c>
    </row>
    <row r="44" spans="2:5" x14ac:dyDescent="0.25">
      <c r="B44" s="4" t="s">
        <v>1641</v>
      </c>
    </row>
    <row r="45" spans="2:5" x14ac:dyDescent="0.25">
      <c r="B45" s="4" t="s">
        <v>1642</v>
      </c>
    </row>
    <row r="46" spans="2:5" x14ac:dyDescent="0.25">
      <c r="B46" s="4" t="s">
        <v>1643</v>
      </c>
    </row>
    <row r="47" spans="2:5" x14ac:dyDescent="0.25">
      <c r="B47" s="4" t="s">
        <v>1644</v>
      </c>
    </row>
    <row r="49" spans="2:13" x14ac:dyDescent="0.25">
      <c r="B49" s="57" t="s">
        <v>1645</v>
      </c>
    </row>
    <row r="52" spans="2:13" x14ac:dyDescent="0.25">
      <c r="B52" s="4" t="s">
        <v>1647</v>
      </c>
    </row>
    <row r="53" spans="2:13" x14ac:dyDescent="0.25">
      <c r="B53" s="6" t="s">
        <v>449</v>
      </c>
      <c r="C53" s="6" t="s">
        <v>1637</v>
      </c>
    </row>
    <row r="54" spans="2:13" x14ac:dyDescent="0.25">
      <c r="B54" s="6" t="s">
        <v>6</v>
      </c>
      <c r="C54" s="6" t="s">
        <v>1638</v>
      </c>
      <c r="E54" s="4" t="s">
        <v>1616</v>
      </c>
    </row>
    <row r="55" spans="2:13" x14ac:dyDescent="0.25">
      <c r="B55" s="4" t="s">
        <v>1648</v>
      </c>
      <c r="E55" s="4" t="s">
        <v>1617</v>
      </c>
    </row>
    <row r="56" spans="2:13" x14ac:dyDescent="0.25">
      <c r="B56" s="4" t="s">
        <v>1649</v>
      </c>
      <c r="E56" s="4" t="s">
        <v>1618</v>
      </c>
    </row>
    <row r="57" spans="2:13" ht="16.5" thickBot="1" x14ac:dyDescent="0.3"/>
    <row r="58" spans="2:13" x14ac:dyDescent="0.25">
      <c r="B58" s="57" t="s">
        <v>1650</v>
      </c>
      <c r="E58" s="50" t="s">
        <v>1258</v>
      </c>
      <c r="F58" s="51"/>
      <c r="G58" s="51"/>
      <c r="H58" s="51"/>
      <c r="I58" s="51"/>
      <c r="J58" s="51"/>
      <c r="K58" s="51"/>
      <c r="L58" s="51"/>
      <c r="M58" s="33"/>
    </row>
    <row r="59" spans="2:13" x14ac:dyDescent="0.25">
      <c r="E59" s="52" t="s">
        <v>1254</v>
      </c>
      <c r="F59" s="53" t="s">
        <v>1259</v>
      </c>
      <c r="G59" s="53" t="s">
        <v>1032</v>
      </c>
      <c r="H59" s="53" t="s">
        <v>1260</v>
      </c>
      <c r="I59" s="53" t="s">
        <v>1261</v>
      </c>
      <c r="J59" s="53"/>
      <c r="K59" s="53"/>
      <c r="L59" s="53"/>
      <c r="M59" s="54"/>
    </row>
    <row r="60" spans="2:13" x14ac:dyDescent="0.25">
      <c r="E60" s="52" t="s">
        <v>1255</v>
      </c>
      <c r="F60" s="53"/>
      <c r="G60" s="53" t="s">
        <v>1259</v>
      </c>
      <c r="H60" s="53" t="s">
        <v>1032</v>
      </c>
      <c r="I60" s="53" t="s">
        <v>1260</v>
      </c>
      <c r="J60" s="53" t="s">
        <v>1261</v>
      </c>
      <c r="K60" s="53"/>
      <c r="L60" s="53"/>
      <c r="M60" s="54"/>
    </row>
    <row r="61" spans="2:13" x14ac:dyDescent="0.25">
      <c r="B61" s="4" t="s">
        <v>1651</v>
      </c>
      <c r="E61" s="52" t="s">
        <v>1262</v>
      </c>
      <c r="F61" s="53"/>
      <c r="G61" s="53"/>
      <c r="H61" s="53" t="s">
        <v>1259</v>
      </c>
      <c r="I61" s="53" t="s">
        <v>1032</v>
      </c>
      <c r="J61" s="53" t="s">
        <v>1260</v>
      </c>
      <c r="K61" s="53" t="s">
        <v>1261</v>
      </c>
      <c r="L61" s="53"/>
      <c r="M61" s="54"/>
    </row>
    <row r="62" spans="2:13" x14ac:dyDescent="0.25">
      <c r="B62" s="6" t="s">
        <v>449</v>
      </c>
      <c r="C62" s="6" t="s">
        <v>1640</v>
      </c>
      <c r="E62" s="52" t="s">
        <v>1263</v>
      </c>
      <c r="F62" s="53"/>
      <c r="G62" s="53"/>
      <c r="H62" s="53"/>
      <c r="I62" s="53" t="s">
        <v>1259</v>
      </c>
      <c r="J62" s="53" t="s">
        <v>1032</v>
      </c>
      <c r="K62" s="53" t="s">
        <v>1260</v>
      </c>
      <c r="L62" s="53" t="s">
        <v>1261</v>
      </c>
      <c r="M62" s="54"/>
    </row>
    <row r="63" spans="2:13" x14ac:dyDescent="0.25">
      <c r="B63" s="6" t="s">
        <v>8</v>
      </c>
      <c r="C63" s="6" t="s">
        <v>1638</v>
      </c>
      <c r="E63" s="52"/>
      <c r="F63" s="2"/>
      <c r="M63" s="54"/>
    </row>
    <row r="64" spans="2:13" ht="16.5" thickBot="1" x14ac:dyDescent="0.3">
      <c r="B64" s="4" t="s">
        <v>1652</v>
      </c>
      <c r="E64" s="55" t="s">
        <v>1658</v>
      </c>
      <c r="F64" s="56"/>
      <c r="G64" s="56"/>
      <c r="H64" s="56"/>
      <c r="I64" s="56"/>
      <c r="J64" s="56"/>
      <c r="K64" s="56"/>
      <c r="L64" s="56"/>
      <c r="M64" s="34"/>
    </row>
    <row r="65" spans="1:5" x14ac:dyDescent="0.25">
      <c r="B65" s="4" t="s">
        <v>1653</v>
      </c>
      <c r="E65" s="4" t="s">
        <v>1655</v>
      </c>
    </row>
    <row r="66" spans="1:5" x14ac:dyDescent="0.25">
      <c r="E66" s="4" t="s">
        <v>1656</v>
      </c>
    </row>
    <row r="67" spans="1:5" x14ac:dyDescent="0.25">
      <c r="B67" s="57" t="s">
        <v>1654</v>
      </c>
      <c r="E67" s="4" t="s">
        <v>1657</v>
      </c>
    </row>
    <row r="70" spans="1:5" x14ac:dyDescent="0.25">
      <c r="A70" s="3" t="s">
        <v>1659</v>
      </c>
    </row>
    <row r="71" spans="1:5" x14ac:dyDescent="0.25">
      <c r="B71" s="4" t="s">
        <v>1660</v>
      </c>
    </row>
    <row r="72" spans="1:5" x14ac:dyDescent="0.25">
      <c r="B72" s="4" t="s">
        <v>1661</v>
      </c>
    </row>
    <row r="73" spans="1:5" x14ac:dyDescent="0.25">
      <c r="B73" s="4" t="s">
        <v>1662</v>
      </c>
    </row>
    <row r="74" spans="1:5" x14ac:dyDescent="0.25">
      <c r="B74" s="4" t="s">
        <v>1663</v>
      </c>
    </row>
    <row r="76" spans="1:5" x14ac:dyDescent="0.25">
      <c r="B76" s="4" t="s">
        <v>1664</v>
      </c>
    </row>
    <row r="77" spans="1:5" x14ac:dyDescent="0.25">
      <c r="B77" s="4" t="s">
        <v>1665</v>
      </c>
    </row>
    <row r="78" spans="1:5" x14ac:dyDescent="0.25">
      <c r="B78" s="4" t="s">
        <v>1666</v>
      </c>
    </row>
    <row r="79" spans="1:5" x14ac:dyDescent="0.25">
      <c r="B79" s="4" t="s">
        <v>1667</v>
      </c>
    </row>
    <row r="80" spans="1:5" x14ac:dyDescent="0.25">
      <c r="B80" s="4" t="s">
        <v>1668</v>
      </c>
    </row>
    <row r="83" spans="1:3" x14ac:dyDescent="0.25">
      <c r="A83" s="3" t="s">
        <v>919</v>
      </c>
    </row>
    <row r="84" spans="1:3" x14ac:dyDescent="0.25">
      <c r="B84" s="6" t="s">
        <v>1518</v>
      </c>
      <c r="C84" s="6" t="s">
        <v>1519</v>
      </c>
    </row>
    <row r="85" spans="1:3" x14ac:dyDescent="0.25">
      <c r="B85" s="6" t="s">
        <v>1669</v>
      </c>
      <c r="C85" s="6" t="s">
        <v>1670</v>
      </c>
    </row>
    <row r="86" spans="1:3" x14ac:dyDescent="0.25">
      <c r="B86" s="6" t="s">
        <v>1671</v>
      </c>
      <c r="C86" s="6" t="s">
        <v>1672</v>
      </c>
    </row>
  </sheetData>
  <phoneticPr fontId="1"/>
  <pageMargins left="0.75" right="0.35" top="1" bottom="1" header="0.51200000000000001" footer="0.51200000000000001"/>
  <pageSetup paperSize="9" scale="80"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1C74-2980-4B9A-A44C-C340A47E246B}">
  <dimension ref="A1:G151"/>
  <sheetViews>
    <sheetView topLeftCell="A78" zoomScaleNormal="100" workbookViewId="0">
      <selection activeCell="A73" sqref="A73:XFD98"/>
    </sheetView>
  </sheetViews>
  <sheetFormatPr defaultRowHeight="15.75" x14ac:dyDescent="0.25"/>
  <cols>
    <col min="1" max="1" width="3.25" style="3" customWidth="1"/>
    <col min="2" max="2" width="17.5" style="4" customWidth="1"/>
    <col min="3" max="3" width="42.25" style="4" customWidth="1"/>
    <col min="4" max="4" width="15" style="4" bestFit="1" customWidth="1"/>
    <col min="5" max="5" width="21.75" style="4" customWidth="1"/>
    <col min="6" max="6" width="24.125" style="4" bestFit="1" customWidth="1"/>
    <col min="7" max="7" width="4.75" style="2" bestFit="1" customWidth="1"/>
    <col min="8" max="16384" width="9" style="2"/>
  </cols>
  <sheetData>
    <row r="1" spans="1:6" s="3" customFormat="1" ht="19.5" x14ac:dyDescent="0.3">
      <c r="A1" s="1" t="s">
        <v>1735</v>
      </c>
      <c r="B1" s="4"/>
      <c r="C1" s="4"/>
      <c r="D1" s="4"/>
      <c r="E1" s="4"/>
      <c r="F1" s="5"/>
    </row>
    <row r="3" spans="1:6" x14ac:dyDescent="0.25">
      <c r="A3" s="3" t="s">
        <v>1620</v>
      </c>
    </row>
    <row r="4" spans="1:6" x14ac:dyDescent="0.25">
      <c r="B4" s="4" t="s">
        <v>1673</v>
      </c>
    </row>
    <row r="5" spans="1:6" x14ac:dyDescent="0.25">
      <c r="B5" s="4" t="s">
        <v>1674</v>
      </c>
    </row>
    <row r="6" spans="1:6" x14ac:dyDescent="0.25">
      <c r="B6" s="4" t="s">
        <v>1675</v>
      </c>
    </row>
    <row r="7" spans="1:6" x14ac:dyDescent="0.25">
      <c r="B7" s="4" t="s">
        <v>1676</v>
      </c>
    </row>
    <row r="10" spans="1:6" x14ac:dyDescent="0.25">
      <c r="A10" s="3" t="s">
        <v>1677</v>
      </c>
    </row>
    <row r="11" spans="1:6" x14ac:dyDescent="0.25">
      <c r="B11" s="6" t="s">
        <v>119</v>
      </c>
      <c r="C11" s="6" t="s">
        <v>1161</v>
      </c>
      <c r="D11" s="6" t="s">
        <v>534</v>
      </c>
      <c r="E11" s="6"/>
    </row>
    <row r="12" spans="1:6" x14ac:dyDescent="0.25">
      <c r="B12" s="6" t="s">
        <v>465</v>
      </c>
      <c r="C12" s="6" t="s">
        <v>1678</v>
      </c>
      <c r="D12" s="6" t="s">
        <v>1679</v>
      </c>
      <c r="E12" s="6" t="s">
        <v>1680</v>
      </c>
    </row>
    <row r="13" spans="1:6" x14ac:dyDescent="0.25">
      <c r="B13" s="6" t="s">
        <v>468</v>
      </c>
      <c r="C13" s="6" t="s">
        <v>245</v>
      </c>
      <c r="D13" s="6" t="s">
        <v>1679</v>
      </c>
      <c r="E13" s="6"/>
    </row>
    <row r="14" spans="1:6" x14ac:dyDescent="0.25">
      <c r="B14" s="6" t="s">
        <v>1</v>
      </c>
      <c r="C14" s="6" t="s">
        <v>5</v>
      </c>
      <c r="D14" s="6"/>
      <c r="E14" s="6"/>
    </row>
    <row r="15" spans="1:6" x14ac:dyDescent="0.25">
      <c r="B15" s="6" t="s">
        <v>449</v>
      </c>
      <c r="C15" s="6" t="s">
        <v>1681</v>
      </c>
      <c r="D15" s="6"/>
      <c r="E15" s="6"/>
    </row>
    <row r="16" spans="1:6" x14ac:dyDescent="0.25">
      <c r="B16" s="6" t="s">
        <v>9</v>
      </c>
      <c r="C16" s="6" t="s">
        <v>1682</v>
      </c>
      <c r="D16" s="6"/>
      <c r="E16" s="6"/>
    </row>
    <row r="17" spans="1:7" x14ac:dyDescent="0.25">
      <c r="B17" s="6" t="s">
        <v>2</v>
      </c>
      <c r="C17" s="6" t="s">
        <v>1685</v>
      </c>
      <c r="D17" s="6"/>
      <c r="E17" s="6"/>
    </row>
    <row r="18" spans="1:7" x14ac:dyDescent="0.25">
      <c r="B18" s="6" t="s">
        <v>439</v>
      </c>
      <c r="C18" s="6" t="s">
        <v>1685</v>
      </c>
      <c r="D18" s="6"/>
      <c r="E18" s="6"/>
    </row>
    <row r="19" spans="1:7" x14ac:dyDescent="0.25">
      <c r="B19" s="6" t="s">
        <v>4</v>
      </c>
      <c r="C19" s="6"/>
      <c r="D19" s="6"/>
      <c r="E19" s="6"/>
    </row>
    <row r="20" spans="1:7" x14ac:dyDescent="0.25">
      <c r="B20" s="6" t="s">
        <v>3</v>
      </c>
      <c r="C20" s="6"/>
      <c r="D20" s="6"/>
      <c r="E20" s="6"/>
    </row>
    <row r="21" spans="1:7" x14ac:dyDescent="0.25">
      <c r="B21" s="6" t="s">
        <v>6</v>
      </c>
      <c r="C21" s="6" t="s">
        <v>446</v>
      </c>
      <c r="D21" s="6"/>
      <c r="E21" s="6"/>
    </row>
    <row r="22" spans="1:7" x14ac:dyDescent="0.25">
      <c r="B22" s="6" t="s">
        <v>7</v>
      </c>
      <c r="C22" s="6" t="s">
        <v>1683</v>
      </c>
      <c r="D22" s="6"/>
      <c r="E22" s="6"/>
    </row>
    <row r="23" spans="1:7" x14ac:dyDescent="0.25">
      <c r="B23" s="6" t="s">
        <v>8</v>
      </c>
      <c r="C23" s="6" t="s">
        <v>1684</v>
      </c>
      <c r="D23" s="6"/>
      <c r="E23" s="6"/>
    </row>
    <row r="24" spans="1:7" x14ac:dyDescent="0.25">
      <c r="B24" s="6" t="s">
        <v>443</v>
      </c>
      <c r="C24" s="6"/>
      <c r="D24" s="6"/>
      <c r="E24" s="6"/>
    </row>
    <row r="27" spans="1:7" x14ac:dyDescent="0.25">
      <c r="A27" s="3" t="s">
        <v>1686</v>
      </c>
    </row>
    <row r="28" spans="1:7" x14ac:dyDescent="0.25">
      <c r="B28" s="16" t="s">
        <v>19</v>
      </c>
      <c r="C28" s="16" t="s">
        <v>118</v>
      </c>
      <c r="D28" s="16"/>
      <c r="E28" s="16"/>
      <c r="F28" s="16"/>
      <c r="G28" s="16"/>
    </row>
    <row r="29" spans="1:7" x14ac:dyDescent="0.25">
      <c r="B29" s="23" t="s">
        <v>119</v>
      </c>
      <c r="C29" s="23" t="s">
        <v>120</v>
      </c>
      <c r="D29" s="23" t="s">
        <v>657</v>
      </c>
      <c r="E29" s="23"/>
      <c r="F29" s="23"/>
      <c r="G29" s="23"/>
    </row>
    <row r="30" spans="1:7" x14ac:dyDescent="0.25">
      <c r="B30" s="8" t="s">
        <v>121</v>
      </c>
      <c r="C30" s="8" t="s">
        <v>80</v>
      </c>
      <c r="D30" s="8" t="s">
        <v>52</v>
      </c>
      <c r="E30" s="8" t="s">
        <v>122</v>
      </c>
      <c r="F30" s="8"/>
      <c r="G30" s="8"/>
    </row>
    <row r="31" spans="1:7" x14ac:dyDescent="0.25">
      <c r="B31" s="8" t="s">
        <v>779</v>
      </c>
      <c r="C31" s="8" t="s">
        <v>1264</v>
      </c>
      <c r="D31" s="8" t="s">
        <v>39</v>
      </c>
      <c r="E31" s="8"/>
      <c r="F31" s="8"/>
      <c r="G31" s="8"/>
    </row>
    <row r="32" spans="1:7" x14ac:dyDescent="0.25">
      <c r="B32" s="61" t="s">
        <v>53</v>
      </c>
      <c r="C32" s="61" t="s">
        <v>123</v>
      </c>
      <c r="D32" s="61"/>
      <c r="E32" s="13" t="s">
        <v>19</v>
      </c>
      <c r="F32" s="61" t="s">
        <v>124</v>
      </c>
      <c r="G32" s="13"/>
    </row>
    <row r="33" spans="2:7" x14ac:dyDescent="0.25">
      <c r="B33" s="8" t="s">
        <v>125</v>
      </c>
      <c r="C33" s="8" t="s">
        <v>126</v>
      </c>
      <c r="D33" s="8"/>
      <c r="E33" s="8" t="s">
        <v>19</v>
      </c>
      <c r="F33" s="8" t="s">
        <v>127</v>
      </c>
      <c r="G33" s="8"/>
    </row>
    <row r="34" spans="2:7" x14ac:dyDescent="0.25">
      <c r="B34" s="11" t="s">
        <v>13</v>
      </c>
      <c r="C34" s="11" t="s">
        <v>1265</v>
      </c>
      <c r="D34" s="11" t="s">
        <v>1266</v>
      </c>
      <c r="E34" s="11" t="s">
        <v>128</v>
      </c>
      <c r="F34" s="11" t="s">
        <v>129</v>
      </c>
      <c r="G34" s="11"/>
    </row>
    <row r="35" spans="2:7" x14ac:dyDescent="0.25">
      <c r="B35" s="11" t="s">
        <v>13</v>
      </c>
      <c r="C35" s="11" t="s">
        <v>1267</v>
      </c>
      <c r="D35" s="11" t="s">
        <v>1266</v>
      </c>
      <c r="E35" s="11" t="s">
        <v>130</v>
      </c>
      <c r="F35" s="11" t="s">
        <v>131</v>
      </c>
      <c r="G35" s="11"/>
    </row>
    <row r="36" spans="2:7" x14ac:dyDescent="0.25">
      <c r="B36" s="11" t="s">
        <v>125</v>
      </c>
      <c r="C36" s="11" t="s">
        <v>132</v>
      </c>
      <c r="D36" s="11"/>
      <c r="E36" s="11"/>
      <c r="F36" s="11"/>
      <c r="G36" s="11"/>
    </row>
    <row r="37" spans="2:7" x14ac:dyDescent="0.25">
      <c r="B37" s="11" t="s">
        <v>12</v>
      </c>
      <c r="C37" s="11" t="s">
        <v>1268</v>
      </c>
      <c r="D37" s="11"/>
      <c r="E37" s="11"/>
      <c r="F37" s="11"/>
      <c r="G37" s="11"/>
    </row>
    <row r="38" spans="2:7" x14ac:dyDescent="0.25">
      <c r="B38" s="11"/>
      <c r="C38" s="11" t="s">
        <v>13</v>
      </c>
      <c r="D38" s="11" t="s">
        <v>1269</v>
      </c>
      <c r="E38" s="11" t="s">
        <v>1266</v>
      </c>
      <c r="F38" s="11" t="s">
        <v>1270</v>
      </c>
      <c r="G38" s="11"/>
    </row>
    <row r="39" spans="2:7" x14ac:dyDescent="0.25">
      <c r="B39" s="11"/>
      <c r="C39" s="11" t="s">
        <v>10</v>
      </c>
      <c r="D39" s="11" t="s">
        <v>133</v>
      </c>
      <c r="E39" s="11"/>
      <c r="F39" s="11"/>
      <c r="G39" s="11"/>
    </row>
    <row r="40" spans="2:7" x14ac:dyDescent="0.25">
      <c r="B40" s="11" t="s">
        <v>815</v>
      </c>
      <c r="C40" s="11" t="s">
        <v>1271</v>
      </c>
      <c r="D40" s="11"/>
      <c r="E40" s="11"/>
      <c r="F40" s="11"/>
      <c r="G40" s="11"/>
    </row>
    <row r="41" spans="2:7" x14ac:dyDescent="0.25">
      <c r="B41" s="11"/>
      <c r="C41" s="11" t="s">
        <v>125</v>
      </c>
      <c r="D41" s="11" t="s">
        <v>1272</v>
      </c>
      <c r="E41" s="11"/>
      <c r="F41" s="11"/>
      <c r="G41" s="11"/>
    </row>
    <row r="42" spans="2:7" x14ac:dyDescent="0.25">
      <c r="B42" s="11" t="s">
        <v>153</v>
      </c>
      <c r="C42" s="11"/>
      <c r="D42" s="11"/>
      <c r="E42" s="11"/>
      <c r="F42" s="11"/>
      <c r="G42" s="11"/>
    </row>
    <row r="43" spans="2:7" x14ac:dyDescent="0.25">
      <c r="B43" s="11"/>
      <c r="C43" s="11" t="s">
        <v>12</v>
      </c>
      <c r="D43" s="11" t="s">
        <v>1273</v>
      </c>
      <c r="E43" s="7"/>
      <c r="F43" s="7"/>
      <c r="G43" s="11"/>
    </row>
    <row r="44" spans="2:7" x14ac:dyDescent="0.25">
      <c r="B44" s="11"/>
      <c r="C44" s="11"/>
      <c r="D44" s="11" t="s">
        <v>10</v>
      </c>
      <c r="E44" s="11" t="s">
        <v>133</v>
      </c>
      <c r="F44" s="11"/>
      <c r="G44" s="11"/>
    </row>
    <row r="45" spans="2:7" x14ac:dyDescent="0.25">
      <c r="B45" s="7"/>
      <c r="C45" s="7" t="s">
        <v>153</v>
      </c>
      <c r="D45" s="7"/>
      <c r="E45" s="7"/>
      <c r="F45" s="11"/>
      <c r="G45" s="11"/>
    </row>
    <row r="46" spans="2:7" x14ac:dyDescent="0.25">
      <c r="B46" s="7"/>
      <c r="C46" s="7"/>
      <c r="D46" s="7" t="s">
        <v>13</v>
      </c>
      <c r="E46" s="11" t="s">
        <v>1269</v>
      </c>
      <c r="F46" s="11" t="s">
        <v>1266</v>
      </c>
      <c r="G46" s="11" t="s">
        <v>1274</v>
      </c>
    </row>
    <row r="47" spans="2:7" x14ac:dyDescent="0.25">
      <c r="B47" s="7"/>
      <c r="C47" s="7" t="s">
        <v>11</v>
      </c>
      <c r="D47" s="7"/>
      <c r="E47" s="7"/>
      <c r="F47" s="11"/>
      <c r="G47" s="11"/>
    </row>
    <row r="48" spans="2:7" x14ac:dyDescent="0.25">
      <c r="B48" s="7" t="s">
        <v>11</v>
      </c>
      <c r="C48" s="7"/>
      <c r="D48" s="7"/>
      <c r="E48" s="7"/>
      <c r="F48" s="11"/>
      <c r="G48" s="11"/>
    </row>
    <row r="49" spans="1:7" x14ac:dyDescent="0.25">
      <c r="B49" s="61" t="s">
        <v>53</v>
      </c>
      <c r="C49" s="61" t="s">
        <v>133</v>
      </c>
      <c r="D49" s="61"/>
      <c r="E49" s="13" t="s">
        <v>19</v>
      </c>
      <c r="F49" s="61" t="s">
        <v>134</v>
      </c>
      <c r="G49" s="13"/>
    </row>
    <row r="50" spans="1:7" x14ac:dyDescent="0.25">
      <c r="B50" s="11" t="s">
        <v>12</v>
      </c>
      <c r="C50" s="11" t="s">
        <v>1275</v>
      </c>
      <c r="D50" s="11" t="s">
        <v>10</v>
      </c>
      <c r="E50" s="11" t="s">
        <v>138</v>
      </c>
      <c r="F50" s="11"/>
      <c r="G50" s="11"/>
    </row>
    <row r="51" spans="1:7" x14ac:dyDescent="0.25">
      <c r="B51" s="11"/>
      <c r="C51" s="11"/>
      <c r="D51" s="11"/>
      <c r="E51" s="11"/>
      <c r="F51" s="11"/>
      <c r="G51" s="11"/>
    </row>
    <row r="52" spans="1:7" x14ac:dyDescent="0.25">
      <c r="B52" s="61" t="s">
        <v>53</v>
      </c>
      <c r="C52" s="61" t="s">
        <v>138</v>
      </c>
      <c r="D52" s="61"/>
      <c r="E52" s="13" t="s">
        <v>19</v>
      </c>
      <c r="F52" s="61" t="s">
        <v>139</v>
      </c>
      <c r="G52" s="13"/>
    </row>
    <row r="53" spans="1:7" x14ac:dyDescent="0.25">
      <c r="B53" s="11" t="s">
        <v>12</v>
      </c>
      <c r="C53" s="11" t="s">
        <v>1276</v>
      </c>
      <c r="D53" s="11" t="s">
        <v>10</v>
      </c>
      <c r="E53" s="11" t="s">
        <v>1277</v>
      </c>
      <c r="F53" s="11"/>
      <c r="G53" s="11"/>
    </row>
    <row r="54" spans="1:7" x14ac:dyDescent="0.25">
      <c r="B54" s="11" t="s">
        <v>137</v>
      </c>
      <c r="C54" s="11"/>
      <c r="D54" s="11" t="s">
        <v>125</v>
      </c>
      <c r="E54" s="11" t="s">
        <v>141</v>
      </c>
      <c r="F54" s="11"/>
      <c r="G54" s="11"/>
    </row>
    <row r="57" spans="1:7" x14ac:dyDescent="0.25">
      <c r="A57" s="3" t="s">
        <v>1694</v>
      </c>
    </row>
    <row r="59" spans="1:7" x14ac:dyDescent="0.25">
      <c r="B59" s="4" t="s">
        <v>1687</v>
      </c>
    </row>
    <row r="60" spans="1:7" x14ac:dyDescent="0.25">
      <c r="B60" s="8" t="s">
        <v>121</v>
      </c>
      <c r="C60" s="8" t="s">
        <v>80</v>
      </c>
      <c r="D60" s="8" t="s">
        <v>52</v>
      </c>
      <c r="E60" s="8" t="s">
        <v>122</v>
      </c>
    </row>
    <row r="62" spans="1:7" x14ac:dyDescent="0.25">
      <c r="B62" s="4" t="s">
        <v>1688</v>
      </c>
    </row>
    <row r="63" spans="1:7" x14ac:dyDescent="0.25">
      <c r="B63" s="4" t="s">
        <v>1689</v>
      </c>
    </row>
    <row r="66" spans="1:4" x14ac:dyDescent="0.25">
      <c r="B66" s="4" t="s">
        <v>1690</v>
      </c>
    </row>
    <row r="67" spans="1:4" x14ac:dyDescent="0.25">
      <c r="B67" s="8" t="s">
        <v>779</v>
      </c>
      <c r="C67" s="8" t="s">
        <v>1264</v>
      </c>
      <c r="D67" s="8" t="s">
        <v>39</v>
      </c>
    </row>
    <row r="69" spans="1:4" x14ac:dyDescent="0.25">
      <c r="B69" s="4" t="s">
        <v>1691</v>
      </c>
    </row>
    <row r="70" spans="1:4" x14ac:dyDescent="0.25">
      <c r="B70" s="4" t="s">
        <v>1692</v>
      </c>
    </row>
    <row r="73" spans="1:4" x14ac:dyDescent="0.25">
      <c r="A73" s="3" t="s">
        <v>1693</v>
      </c>
    </row>
    <row r="74" spans="1:4" x14ac:dyDescent="0.25">
      <c r="B74" s="4" t="s">
        <v>1008</v>
      </c>
    </row>
    <row r="75" spans="1:4" x14ac:dyDescent="0.25">
      <c r="B75" s="6" t="s">
        <v>12</v>
      </c>
      <c r="C75" s="6" t="s">
        <v>1009</v>
      </c>
    </row>
    <row r="76" spans="1:4" x14ac:dyDescent="0.25">
      <c r="B76" s="6"/>
      <c r="C76" s="6" t="s">
        <v>1007</v>
      </c>
    </row>
    <row r="77" spans="1:4" x14ac:dyDescent="0.25">
      <c r="B77" s="6" t="s">
        <v>4</v>
      </c>
      <c r="C77" s="6"/>
    </row>
    <row r="78" spans="1:4" x14ac:dyDescent="0.25">
      <c r="B78" s="6"/>
      <c r="C78" s="6" t="s">
        <v>1007</v>
      </c>
    </row>
    <row r="79" spans="1:4" x14ac:dyDescent="0.25">
      <c r="B79" s="6" t="s">
        <v>3</v>
      </c>
      <c r="C79" s="6"/>
    </row>
    <row r="81" spans="2:5" x14ac:dyDescent="0.25">
      <c r="B81" s="4" t="s">
        <v>1010</v>
      </c>
    </row>
    <row r="82" spans="2:5" x14ac:dyDescent="0.25">
      <c r="B82" s="6" t="s">
        <v>12</v>
      </c>
      <c r="C82" s="6" t="s">
        <v>1009</v>
      </c>
    </row>
    <row r="83" spans="2:5" x14ac:dyDescent="0.25">
      <c r="B83" s="6"/>
      <c r="C83" s="6" t="s">
        <v>1007</v>
      </c>
    </row>
    <row r="84" spans="2:5" x14ac:dyDescent="0.25">
      <c r="B84" s="6" t="s">
        <v>3</v>
      </c>
      <c r="C84" s="6"/>
    </row>
    <row r="87" spans="2:5" x14ac:dyDescent="0.25">
      <c r="B87" s="4" t="s">
        <v>1011</v>
      </c>
    </row>
    <row r="88" spans="2:5" x14ac:dyDescent="0.25">
      <c r="B88" s="11" t="s">
        <v>12</v>
      </c>
      <c r="C88" s="11" t="s">
        <v>832</v>
      </c>
      <c r="D88" s="11" t="s">
        <v>673</v>
      </c>
      <c r="E88" s="11" t="s">
        <v>1013</v>
      </c>
    </row>
    <row r="89" spans="2:5" x14ac:dyDescent="0.25">
      <c r="B89" s="11" t="s">
        <v>137</v>
      </c>
      <c r="C89" s="11"/>
      <c r="D89" s="11" t="s">
        <v>673</v>
      </c>
      <c r="E89" s="11" t="s">
        <v>1014</v>
      </c>
    </row>
    <row r="90" spans="2:5" x14ac:dyDescent="0.25">
      <c r="B90" s="4" t="s">
        <v>1012</v>
      </c>
    </row>
    <row r="91" spans="2:5" x14ac:dyDescent="0.25">
      <c r="B91" s="11" t="s">
        <v>12</v>
      </c>
      <c r="C91" s="11" t="s">
        <v>832</v>
      </c>
      <c r="D91" s="6"/>
      <c r="E91" s="6"/>
    </row>
    <row r="92" spans="2:5" x14ac:dyDescent="0.25">
      <c r="B92" s="6"/>
      <c r="C92" s="6" t="s">
        <v>125</v>
      </c>
      <c r="D92" s="11" t="s">
        <v>1013</v>
      </c>
      <c r="E92" s="6"/>
    </row>
    <row r="93" spans="2:5" x14ac:dyDescent="0.25">
      <c r="B93" s="6" t="s">
        <v>153</v>
      </c>
      <c r="C93" s="6"/>
      <c r="D93" s="6"/>
      <c r="E93" s="6"/>
    </row>
    <row r="94" spans="2:5" x14ac:dyDescent="0.25">
      <c r="B94" s="6"/>
      <c r="C94" s="6" t="s">
        <v>125</v>
      </c>
      <c r="D94" s="11" t="s">
        <v>1014</v>
      </c>
      <c r="E94" s="6"/>
    </row>
    <row r="95" spans="2:5" x14ac:dyDescent="0.25">
      <c r="B95" s="6" t="s">
        <v>11</v>
      </c>
      <c r="C95" s="6"/>
      <c r="D95" s="6"/>
      <c r="E95" s="6"/>
    </row>
    <row r="97" spans="1:3" x14ac:dyDescent="0.25">
      <c r="B97" s="4" t="s">
        <v>1173</v>
      </c>
    </row>
    <row r="100" spans="1:3" x14ac:dyDescent="0.25">
      <c r="A100" s="3" t="s">
        <v>1695</v>
      </c>
    </row>
    <row r="101" spans="1:3" x14ac:dyDescent="0.25">
      <c r="B101" s="6" t="s">
        <v>6</v>
      </c>
      <c r="C101" s="6" t="s">
        <v>5</v>
      </c>
    </row>
    <row r="102" spans="1:3" x14ac:dyDescent="0.25">
      <c r="B102" s="4" t="s">
        <v>1696</v>
      </c>
    </row>
    <row r="104" spans="1:3" x14ac:dyDescent="0.25">
      <c r="B104" s="6" t="s">
        <v>6</v>
      </c>
      <c r="C104" s="6" t="s">
        <v>1697</v>
      </c>
    </row>
    <row r="105" spans="1:3" x14ac:dyDescent="0.25">
      <c r="B105" s="4" t="s">
        <v>1700</v>
      </c>
    </row>
    <row r="107" spans="1:3" x14ac:dyDescent="0.25">
      <c r="B107" s="6" t="s">
        <v>7</v>
      </c>
      <c r="C107" s="6" t="s">
        <v>5</v>
      </c>
    </row>
    <row r="108" spans="1:3" x14ac:dyDescent="0.25">
      <c r="B108" s="4" t="s">
        <v>1698</v>
      </c>
    </row>
    <row r="110" spans="1:3" x14ac:dyDescent="0.25">
      <c r="B110" s="6" t="s">
        <v>8</v>
      </c>
      <c r="C110" s="6" t="s">
        <v>5</v>
      </c>
    </row>
    <row r="111" spans="1:3" x14ac:dyDescent="0.25">
      <c r="B111" s="4" t="s">
        <v>1699</v>
      </c>
    </row>
    <row r="114" spans="1:7" x14ac:dyDescent="0.25">
      <c r="A114" s="3" t="s">
        <v>1701</v>
      </c>
    </row>
    <row r="115" spans="1:7" x14ac:dyDescent="0.25">
      <c r="B115" s="6" t="s">
        <v>9</v>
      </c>
      <c r="C115" s="6" t="s">
        <v>495</v>
      </c>
      <c r="D115" s="6" t="s">
        <v>1702</v>
      </c>
      <c r="E115" s="6" t="s">
        <v>1703</v>
      </c>
      <c r="F115" s="6" t="s">
        <v>1703</v>
      </c>
      <c r="G115" s="7" t="s">
        <v>909</v>
      </c>
    </row>
    <row r="117" spans="1:7" x14ac:dyDescent="0.25">
      <c r="B117" s="4" t="s">
        <v>1704</v>
      </c>
    </row>
    <row r="118" spans="1:7" x14ac:dyDescent="0.25">
      <c r="B118" s="4" t="s">
        <v>1705</v>
      </c>
    </row>
    <row r="120" spans="1:7" x14ac:dyDescent="0.25">
      <c r="B120" s="4" t="s">
        <v>1707</v>
      </c>
    </row>
    <row r="121" spans="1:7" x14ac:dyDescent="0.25">
      <c r="B121" s="4" t="s">
        <v>1708</v>
      </c>
    </row>
    <row r="122" spans="1:7" x14ac:dyDescent="0.25">
      <c r="B122" s="11" t="s">
        <v>9</v>
      </c>
      <c r="C122" s="11" t="s">
        <v>1127</v>
      </c>
      <c r="D122" s="11" t="s">
        <v>1709</v>
      </c>
      <c r="E122" s="62" t="s">
        <v>1710</v>
      </c>
    </row>
    <row r="123" spans="1:7" x14ac:dyDescent="0.25">
      <c r="B123" s="4" t="s">
        <v>1711</v>
      </c>
    </row>
    <row r="125" spans="1:7" x14ac:dyDescent="0.25">
      <c r="B125" s="4" t="s">
        <v>1712</v>
      </c>
    </row>
    <row r="126" spans="1:7" x14ac:dyDescent="0.25">
      <c r="B126" s="6" t="s">
        <v>9</v>
      </c>
      <c r="C126" s="6" t="s">
        <v>1127</v>
      </c>
      <c r="D126" s="6" t="s">
        <v>1709</v>
      </c>
      <c r="E126" s="42" t="s">
        <v>1713</v>
      </c>
    </row>
    <row r="127" spans="1:7" x14ac:dyDescent="0.25">
      <c r="B127" s="4" t="s">
        <v>1714</v>
      </c>
    </row>
    <row r="129" spans="1:5" x14ac:dyDescent="0.25">
      <c r="B129" s="4" t="s">
        <v>1715</v>
      </c>
    </row>
    <row r="130" spans="1:5" x14ac:dyDescent="0.25">
      <c r="B130" s="6" t="s">
        <v>343</v>
      </c>
      <c r="C130" s="6" t="s">
        <v>1127</v>
      </c>
      <c r="D130" s="42">
        <v>16</v>
      </c>
      <c r="E130" s="6"/>
    </row>
    <row r="131" spans="1:5" x14ac:dyDescent="0.25">
      <c r="B131" s="6" t="s">
        <v>9</v>
      </c>
      <c r="C131" s="6" t="s">
        <v>1127</v>
      </c>
      <c r="D131" s="6" t="s">
        <v>1709</v>
      </c>
      <c r="E131" s="42" t="s">
        <v>1713</v>
      </c>
    </row>
    <row r="132" spans="1:5" x14ac:dyDescent="0.25">
      <c r="B132" s="4" t="s">
        <v>1716</v>
      </c>
    </row>
    <row r="135" spans="1:5" x14ac:dyDescent="0.25">
      <c r="B135" s="4" t="s">
        <v>1717</v>
      </c>
    </row>
    <row r="136" spans="1:5" x14ac:dyDescent="0.25">
      <c r="B136" s="4" t="s">
        <v>1718</v>
      </c>
    </row>
    <row r="137" spans="1:5" x14ac:dyDescent="0.25">
      <c r="B137" s="4" t="s">
        <v>1719</v>
      </c>
    </row>
    <row r="138" spans="1:5" x14ac:dyDescent="0.25">
      <c r="B138" s="4" t="s">
        <v>1720</v>
      </c>
    </row>
    <row r="141" spans="1:5" x14ac:dyDescent="0.25">
      <c r="A141" s="3" t="s">
        <v>873</v>
      </c>
    </row>
    <row r="142" spans="1:5" x14ac:dyDescent="0.25">
      <c r="B142" s="6" t="s">
        <v>1518</v>
      </c>
      <c r="C142" s="6" t="s">
        <v>1519</v>
      </c>
    </row>
    <row r="143" spans="1:5" x14ac:dyDescent="0.25">
      <c r="B143" s="6" t="s">
        <v>1721</v>
      </c>
      <c r="C143" s="6" t="s">
        <v>1722</v>
      </c>
    </row>
    <row r="144" spans="1:5" x14ac:dyDescent="0.25">
      <c r="B144" s="6" t="s">
        <v>1723</v>
      </c>
      <c r="C144" s="6" t="s">
        <v>1724</v>
      </c>
    </row>
    <row r="145" spans="2:3" x14ac:dyDescent="0.25">
      <c r="B145" s="6" t="s">
        <v>1725</v>
      </c>
      <c r="C145" s="6" t="s">
        <v>1726</v>
      </c>
    </row>
    <row r="146" spans="2:3" x14ac:dyDescent="0.25">
      <c r="B146" s="6" t="s">
        <v>1727</v>
      </c>
      <c r="C146" s="6" t="s">
        <v>1728</v>
      </c>
    </row>
    <row r="147" spans="2:3" x14ac:dyDescent="0.25">
      <c r="B147" s="6" t="s">
        <v>467</v>
      </c>
      <c r="C147" s="6" t="s">
        <v>1729</v>
      </c>
    </row>
    <row r="148" spans="2:3" x14ac:dyDescent="0.25">
      <c r="B148" s="6" t="s">
        <v>470</v>
      </c>
      <c r="C148" s="6" t="s">
        <v>1730</v>
      </c>
    </row>
    <row r="149" spans="2:3" x14ac:dyDescent="0.25">
      <c r="B149" s="6" t="s">
        <v>446</v>
      </c>
      <c r="C149" s="6" t="s">
        <v>1731</v>
      </c>
    </row>
    <row r="150" spans="2:3" x14ac:dyDescent="0.25">
      <c r="B150" s="6" t="s">
        <v>1732</v>
      </c>
      <c r="C150" s="6" t="s">
        <v>1733</v>
      </c>
    </row>
    <row r="151" spans="2:3" x14ac:dyDescent="0.25">
      <c r="B151" s="6" t="s">
        <v>1706</v>
      </c>
      <c r="C151" s="6" t="s">
        <v>1734</v>
      </c>
    </row>
  </sheetData>
  <phoneticPr fontId="1"/>
  <pageMargins left="0.75" right="0.35" top="1" bottom="1" header="0.51200000000000001" footer="0.51200000000000001"/>
  <pageSetup paperSize="9" scale="8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DAD6-0EA6-4005-B7C1-8BA12D0A0B22}">
  <dimension ref="A1:T65"/>
  <sheetViews>
    <sheetView zoomScaleNormal="100" workbookViewId="0">
      <selection activeCell="J70" sqref="J70"/>
    </sheetView>
  </sheetViews>
  <sheetFormatPr defaultRowHeight="15.75" x14ac:dyDescent="0.25"/>
  <cols>
    <col min="1" max="1" width="3.25" style="3" customWidth="1"/>
    <col min="2" max="2" width="14.875" style="4" customWidth="1"/>
    <col min="3" max="3" width="12.25" style="4" customWidth="1"/>
    <col min="4" max="4" width="13.5" style="4" customWidth="1"/>
    <col min="5" max="5" width="11" style="4" customWidth="1"/>
    <col min="6" max="6" width="10" style="4" bestFit="1" customWidth="1"/>
    <col min="7" max="7" width="3.625" style="2" bestFit="1" customWidth="1"/>
    <col min="8" max="9" width="9" style="2"/>
    <col min="10" max="10" width="11.25" style="2" bestFit="1" customWidth="1"/>
    <col min="11" max="20" width="6.25" style="2" customWidth="1"/>
    <col min="21" max="16384" width="9" style="2"/>
  </cols>
  <sheetData>
    <row r="1" spans="1:10" s="3" customFormat="1" ht="19.5" x14ac:dyDescent="0.3">
      <c r="A1" s="1" t="s">
        <v>1736</v>
      </c>
      <c r="B1" s="4"/>
      <c r="C1" s="4"/>
      <c r="D1" s="4"/>
      <c r="E1" s="4"/>
      <c r="F1" s="5"/>
    </row>
    <row r="3" spans="1:10" x14ac:dyDescent="0.25">
      <c r="A3" s="3" t="s">
        <v>1620</v>
      </c>
    </row>
    <row r="4" spans="1:10" x14ac:dyDescent="0.25">
      <c r="B4" s="4" t="s">
        <v>1737</v>
      </c>
    </row>
    <row r="5" spans="1:10" x14ac:dyDescent="0.25">
      <c r="B5" s="4" t="s">
        <v>1738</v>
      </c>
    </row>
    <row r="6" spans="1:10" x14ac:dyDescent="0.25">
      <c r="B6" s="4" t="s">
        <v>1739</v>
      </c>
    </row>
    <row r="9" spans="1:10" x14ac:dyDescent="0.25">
      <c r="A9" s="3" t="s">
        <v>1677</v>
      </c>
    </row>
    <row r="10" spans="1:10" x14ac:dyDescent="0.25">
      <c r="B10" s="6" t="s">
        <v>9</v>
      </c>
      <c r="C10" s="6" t="s">
        <v>495</v>
      </c>
      <c r="D10" s="6" t="s">
        <v>1702</v>
      </c>
      <c r="E10" s="6" t="s">
        <v>1703</v>
      </c>
      <c r="F10" s="6" t="s">
        <v>1703</v>
      </c>
      <c r="G10" s="7" t="s">
        <v>909</v>
      </c>
    </row>
    <row r="11" spans="1:10" x14ac:dyDescent="0.25">
      <c r="B11" s="4" t="s">
        <v>1740</v>
      </c>
    </row>
    <row r="12" spans="1:10" x14ac:dyDescent="0.25">
      <c r="B12" s="6" t="s">
        <v>9</v>
      </c>
      <c r="C12" s="6" t="s">
        <v>449</v>
      </c>
      <c r="D12" s="6" t="s">
        <v>1702</v>
      </c>
      <c r="E12" s="6" t="s">
        <v>1741</v>
      </c>
    </row>
    <row r="15" spans="1:10" x14ac:dyDescent="0.25">
      <c r="A15" s="3" t="s">
        <v>1742</v>
      </c>
    </row>
    <row r="16" spans="1:10" x14ac:dyDescent="0.25">
      <c r="B16" s="4" t="s">
        <v>1748</v>
      </c>
      <c r="J16" s="2" t="s">
        <v>1749</v>
      </c>
    </row>
    <row r="17" spans="1:20" x14ac:dyDescent="0.25">
      <c r="B17" s="6" t="s">
        <v>9</v>
      </c>
      <c r="C17" s="6" t="s">
        <v>1743</v>
      </c>
      <c r="D17" s="6" t="s">
        <v>514</v>
      </c>
      <c r="E17" s="6" t="s">
        <v>1136</v>
      </c>
      <c r="F17" s="7" t="s">
        <v>1744</v>
      </c>
      <c r="I17" s="4"/>
      <c r="J17" s="4" t="s">
        <v>31</v>
      </c>
      <c r="K17" s="63"/>
      <c r="L17" s="64"/>
      <c r="M17" s="63"/>
      <c r="N17" s="64"/>
      <c r="O17" s="63"/>
      <c r="P17" s="64"/>
      <c r="Q17" s="63"/>
      <c r="R17" s="64"/>
      <c r="S17" s="63"/>
      <c r="T17" s="64"/>
    </row>
    <row r="18" spans="1:20" x14ac:dyDescent="0.25">
      <c r="B18" s="6" t="s">
        <v>9</v>
      </c>
      <c r="C18" s="6" t="s">
        <v>1745</v>
      </c>
      <c r="D18" s="6" t="s">
        <v>514</v>
      </c>
      <c r="E18" s="6" t="s">
        <v>1746</v>
      </c>
      <c r="F18" s="7" t="s">
        <v>1747</v>
      </c>
      <c r="J18" s="4"/>
      <c r="K18" s="4"/>
      <c r="L18" s="4"/>
      <c r="M18" s="4"/>
      <c r="N18" s="4"/>
      <c r="O18" s="4"/>
      <c r="P18" s="4"/>
      <c r="Q18" s="4"/>
      <c r="R18" s="4"/>
      <c r="S18" s="4"/>
      <c r="T18" s="4"/>
    </row>
    <row r="19" spans="1:20" x14ac:dyDescent="0.25">
      <c r="J19" s="4" t="s">
        <v>1278</v>
      </c>
      <c r="K19" s="65">
        <v>0</v>
      </c>
      <c r="L19" s="66"/>
      <c r="M19" s="65">
        <v>1</v>
      </c>
      <c r="N19" s="66"/>
      <c r="O19" s="65">
        <v>2</v>
      </c>
      <c r="P19" s="66"/>
      <c r="Q19" s="65">
        <v>3</v>
      </c>
      <c r="R19" s="66"/>
      <c r="S19" s="65">
        <v>4</v>
      </c>
      <c r="T19" s="66"/>
    </row>
    <row r="20" spans="1:20" x14ac:dyDescent="0.25">
      <c r="J20" s="4"/>
      <c r="K20" s="4"/>
      <c r="L20" s="4"/>
      <c r="M20" s="4"/>
      <c r="N20" s="4"/>
      <c r="O20" s="4"/>
      <c r="P20" s="4"/>
      <c r="Q20" s="4"/>
      <c r="R20" s="4"/>
      <c r="S20" s="4"/>
      <c r="T20" s="4"/>
    </row>
    <row r="21" spans="1:20" x14ac:dyDescent="0.25">
      <c r="B21" s="4" t="s">
        <v>1549</v>
      </c>
      <c r="J21" s="4" t="s">
        <v>34</v>
      </c>
      <c r="K21" s="67"/>
      <c r="L21" s="68"/>
      <c r="M21" s="68"/>
      <c r="N21" s="69"/>
      <c r="O21" s="64">
        <v>0</v>
      </c>
      <c r="P21" s="70"/>
      <c r="Q21" s="71"/>
      <c r="R21" s="72"/>
      <c r="S21" s="72"/>
      <c r="T21" s="72"/>
    </row>
    <row r="22" spans="1:20" x14ac:dyDescent="0.25">
      <c r="B22" s="4" t="s">
        <v>1750</v>
      </c>
      <c r="J22" s="4"/>
      <c r="K22" s="4"/>
      <c r="L22" s="4"/>
      <c r="M22" s="4"/>
      <c r="N22" s="4"/>
      <c r="O22" s="4"/>
      <c r="P22" s="4"/>
      <c r="Q22" s="4"/>
      <c r="R22" s="4"/>
      <c r="S22" s="4"/>
      <c r="T22" s="4"/>
    </row>
    <row r="23" spans="1:20" x14ac:dyDescent="0.25">
      <c r="B23" s="4" t="s">
        <v>1751</v>
      </c>
      <c r="J23" s="4" t="s">
        <v>36</v>
      </c>
      <c r="K23" s="67"/>
      <c r="L23" s="69"/>
      <c r="M23" s="65" t="s">
        <v>1279</v>
      </c>
      <c r="N23" s="73"/>
      <c r="O23" s="73"/>
      <c r="P23" s="73"/>
      <c r="Q23" s="73"/>
      <c r="R23" s="66"/>
      <c r="S23" s="65" t="s">
        <v>1280</v>
      </c>
      <c r="T23" s="66"/>
    </row>
    <row r="24" spans="1:20" x14ac:dyDescent="0.25">
      <c r="B24" s="4" t="s">
        <v>1752</v>
      </c>
    </row>
    <row r="27" spans="1:20" x14ac:dyDescent="0.25">
      <c r="A27" s="3" t="s">
        <v>1753</v>
      </c>
    </row>
    <row r="28" spans="1:20" x14ac:dyDescent="0.25">
      <c r="B28" s="4" t="s">
        <v>1748</v>
      </c>
    </row>
    <row r="29" spans="1:20" x14ac:dyDescent="0.25">
      <c r="B29" s="6" t="s">
        <v>9</v>
      </c>
      <c r="C29" s="6" t="s">
        <v>449</v>
      </c>
      <c r="D29" s="6" t="s">
        <v>514</v>
      </c>
      <c r="E29" s="6" t="s">
        <v>1754</v>
      </c>
      <c r="F29" s="6"/>
      <c r="G29" s="7"/>
      <c r="H29" s="7"/>
      <c r="I29" s="7"/>
      <c r="J29" s="7"/>
    </row>
    <row r="30" spans="1:20" x14ac:dyDescent="0.25">
      <c r="B30" s="4" t="s">
        <v>1755</v>
      </c>
    </row>
    <row r="33" spans="1:3" x14ac:dyDescent="0.25">
      <c r="A33" s="3" t="s">
        <v>1756</v>
      </c>
    </row>
    <row r="34" spans="1:3" x14ac:dyDescent="0.25">
      <c r="B34" s="4" t="s">
        <v>1758</v>
      </c>
    </row>
    <row r="35" spans="1:3" x14ac:dyDescent="0.25">
      <c r="B35" s="6" t="s">
        <v>83</v>
      </c>
      <c r="C35" s="6" t="s">
        <v>1759</v>
      </c>
    </row>
    <row r="36" spans="1:3" x14ac:dyDescent="0.25">
      <c r="B36" s="4" t="s">
        <v>1159</v>
      </c>
    </row>
    <row r="37" spans="1:3" x14ac:dyDescent="0.25">
      <c r="B37" s="6" t="s">
        <v>83</v>
      </c>
      <c r="C37" s="6">
        <v>99</v>
      </c>
    </row>
    <row r="39" spans="1:3" x14ac:dyDescent="0.25">
      <c r="B39" s="4" t="s">
        <v>1760</v>
      </c>
    </row>
    <row r="40" spans="1:3" x14ac:dyDescent="0.25">
      <c r="B40" s="4" t="s">
        <v>1761</v>
      </c>
    </row>
    <row r="43" spans="1:3" x14ac:dyDescent="0.25">
      <c r="A43" s="3" t="s">
        <v>1762</v>
      </c>
    </row>
    <row r="44" spans="1:3" x14ac:dyDescent="0.25">
      <c r="B44" s="4" t="s">
        <v>1763</v>
      </c>
    </row>
    <row r="45" spans="1:3" x14ac:dyDescent="0.25">
      <c r="B45" s="4" t="s">
        <v>1764</v>
      </c>
    </row>
    <row r="46" spans="1:3" x14ac:dyDescent="0.25">
      <c r="B46" s="4" t="s">
        <v>1765</v>
      </c>
    </row>
    <row r="47" spans="1:3" x14ac:dyDescent="0.25">
      <c r="B47" s="4" t="s">
        <v>1766</v>
      </c>
    </row>
    <row r="49" spans="1:5" x14ac:dyDescent="0.25">
      <c r="B49" s="4" t="s">
        <v>1758</v>
      </c>
    </row>
    <row r="50" spans="1:5" x14ac:dyDescent="0.25">
      <c r="B50" s="6" t="s">
        <v>1767</v>
      </c>
      <c r="C50" s="6" t="s">
        <v>1768</v>
      </c>
    </row>
    <row r="51" spans="1:5" x14ac:dyDescent="0.25">
      <c r="B51" s="4" t="s">
        <v>1159</v>
      </c>
    </row>
    <row r="52" spans="1:5" x14ac:dyDescent="0.25">
      <c r="B52" s="6" t="s">
        <v>1767</v>
      </c>
      <c r="C52" s="6">
        <v>10</v>
      </c>
    </row>
    <row r="53" spans="1:5" x14ac:dyDescent="0.25">
      <c r="B53" s="4" t="s">
        <v>1769</v>
      </c>
    </row>
    <row r="56" spans="1:5" x14ac:dyDescent="0.25">
      <c r="A56" s="3" t="s">
        <v>1771</v>
      </c>
    </row>
    <row r="57" spans="1:5" x14ac:dyDescent="0.25">
      <c r="B57" s="6" t="s">
        <v>1518</v>
      </c>
      <c r="C57" s="74" t="s">
        <v>1519</v>
      </c>
      <c r="D57" s="38"/>
      <c r="E57" s="39"/>
    </row>
    <row r="58" spans="1:5" x14ac:dyDescent="0.25">
      <c r="B58" s="6" t="s">
        <v>1772</v>
      </c>
      <c r="C58" s="74" t="s">
        <v>1773</v>
      </c>
      <c r="D58" s="38"/>
      <c r="E58" s="39"/>
    </row>
    <row r="59" spans="1:5" x14ac:dyDescent="0.25">
      <c r="B59" s="6" t="s">
        <v>1774</v>
      </c>
      <c r="C59" s="74" t="s">
        <v>1775</v>
      </c>
      <c r="D59" s="38"/>
      <c r="E59" s="39"/>
    </row>
    <row r="60" spans="1:5" x14ac:dyDescent="0.25">
      <c r="B60" s="6" t="s">
        <v>1776</v>
      </c>
      <c r="C60" s="74" t="s">
        <v>1777</v>
      </c>
      <c r="D60" s="38"/>
      <c r="E60" s="39"/>
    </row>
    <row r="61" spans="1:5" x14ac:dyDescent="0.25">
      <c r="B61" s="6" t="s">
        <v>1778</v>
      </c>
      <c r="C61" s="74" t="s">
        <v>1779</v>
      </c>
      <c r="D61" s="38"/>
      <c r="E61" s="39"/>
    </row>
    <row r="62" spans="1:5" x14ac:dyDescent="0.25">
      <c r="B62" s="6" t="s">
        <v>1780</v>
      </c>
      <c r="C62" s="74" t="s">
        <v>1785</v>
      </c>
      <c r="D62" s="38"/>
      <c r="E62" s="39"/>
    </row>
    <row r="63" spans="1:5" x14ac:dyDescent="0.25">
      <c r="B63" s="6" t="s">
        <v>1781</v>
      </c>
      <c r="C63" s="74" t="s">
        <v>1757</v>
      </c>
      <c r="D63" s="38"/>
      <c r="E63" s="39"/>
    </row>
    <row r="64" spans="1:5" x14ac:dyDescent="0.25">
      <c r="B64" s="6" t="s">
        <v>1782</v>
      </c>
      <c r="C64" s="74" t="s">
        <v>1767</v>
      </c>
      <c r="D64" s="38"/>
      <c r="E64" s="39"/>
    </row>
    <row r="65" spans="2:5" x14ac:dyDescent="0.25">
      <c r="B65" s="6" t="s">
        <v>1783</v>
      </c>
      <c r="C65" s="74" t="s">
        <v>1784</v>
      </c>
      <c r="D65" s="38"/>
      <c r="E65" s="39"/>
    </row>
  </sheetData>
  <mergeCells count="7">
    <mergeCell ref="K19:L19"/>
    <mergeCell ref="M19:N19"/>
    <mergeCell ref="O19:P19"/>
    <mergeCell ref="Q19:R19"/>
    <mergeCell ref="S19:T19"/>
    <mergeCell ref="M23:R23"/>
    <mergeCell ref="S23:T23"/>
  </mergeCells>
  <phoneticPr fontId="1"/>
  <pageMargins left="0.75" right="0.35" top="1" bottom="1" header="0.51200000000000001" footer="0.51200000000000001"/>
  <pageSetup paperSize="9" scale="8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06DA9-14A0-4064-99A9-325138670027}">
  <dimension ref="A1:F109"/>
  <sheetViews>
    <sheetView topLeftCell="A54" zoomScaleNormal="100" workbookViewId="0">
      <selection activeCell="H107" sqref="H107"/>
    </sheetView>
  </sheetViews>
  <sheetFormatPr defaultRowHeight="15.75" x14ac:dyDescent="0.25"/>
  <cols>
    <col min="1" max="1" width="3.25" style="3" customWidth="1"/>
    <col min="2" max="2" width="37.87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t="s">
        <v>1847</v>
      </c>
      <c r="B1" s="4"/>
      <c r="C1" s="4"/>
      <c r="D1" s="4"/>
      <c r="E1" s="4"/>
      <c r="F1" s="5"/>
    </row>
    <row r="3" spans="1:6" x14ac:dyDescent="0.25">
      <c r="A3" s="3" t="s">
        <v>1620</v>
      </c>
    </row>
    <row r="4" spans="1:6" x14ac:dyDescent="0.25">
      <c r="B4" s="4" t="s">
        <v>1787</v>
      </c>
    </row>
    <row r="5" spans="1:6" x14ac:dyDescent="0.25">
      <c r="B5" s="4" t="s">
        <v>1788</v>
      </c>
    </row>
    <row r="6" spans="1:6" x14ac:dyDescent="0.25">
      <c r="B6" s="4" t="s">
        <v>1789</v>
      </c>
    </row>
    <row r="7" spans="1:6" x14ac:dyDescent="0.25">
      <c r="B7" s="4" t="s">
        <v>1790</v>
      </c>
    </row>
    <row r="8" spans="1:6" x14ac:dyDescent="0.25">
      <c r="B8" s="4" t="s">
        <v>1791</v>
      </c>
    </row>
    <row r="11" spans="1:6" x14ac:dyDescent="0.25">
      <c r="A11" s="3" t="s">
        <v>1792</v>
      </c>
    </row>
    <row r="12" spans="1:6" x14ac:dyDescent="0.25">
      <c r="B12" s="4" t="s">
        <v>1476</v>
      </c>
    </row>
    <row r="13" spans="1:6" x14ac:dyDescent="0.25">
      <c r="B13" s="6" t="s">
        <v>417</v>
      </c>
      <c r="C13" s="6" t="s">
        <v>245</v>
      </c>
      <c r="D13" s="6"/>
    </row>
    <row r="14" spans="1:6" x14ac:dyDescent="0.25">
      <c r="B14" s="6" t="s">
        <v>419</v>
      </c>
      <c r="C14" s="6" t="s">
        <v>420</v>
      </c>
      <c r="D14" s="6"/>
      <c r="E14" s="4" t="s">
        <v>1796</v>
      </c>
    </row>
    <row r="15" spans="1:6" x14ac:dyDescent="0.25">
      <c r="B15" s="6" t="s">
        <v>422</v>
      </c>
      <c r="C15" s="6" t="s">
        <v>1793</v>
      </c>
      <c r="D15" s="6"/>
      <c r="E15" s="4" t="s">
        <v>1797</v>
      </c>
    </row>
    <row r="16" spans="1:6" x14ac:dyDescent="0.25">
      <c r="B16" s="6" t="s">
        <v>425</v>
      </c>
      <c r="C16" s="6" t="s">
        <v>1795</v>
      </c>
      <c r="D16" s="6" t="s">
        <v>1679</v>
      </c>
    </row>
    <row r="17" spans="2:4" x14ac:dyDescent="0.25">
      <c r="B17" s="6" t="s">
        <v>425</v>
      </c>
      <c r="C17" s="6" t="s">
        <v>1795</v>
      </c>
      <c r="D17" s="6" t="s">
        <v>1679</v>
      </c>
    </row>
    <row r="18" spans="2:4" x14ac:dyDescent="0.25">
      <c r="B18" s="6" t="s">
        <v>1598</v>
      </c>
      <c r="C18" s="6"/>
      <c r="D18" s="6"/>
    </row>
    <row r="20" spans="2:4" x14ac:dyDescent="0.25">
      <c r="B20" s="4" t="s">
        <v>1544</v>
      </c>
    </row>
    <row r="21" spans="2:4" x14ac:dyDescent="0.25">
      <c r="B21" s="75" t="s">
        <v>86</v>
      </c>
      <c r="C21" s="76" t="s">
        <v>87</v>
      </c>
      <c r="D21" s="76"/>
    </row>
    <row r="22" spans="2:4" x14ac:dyDescent="0.25">
      <c r="B22" s="11" t="s">
        <v>1281</v>
      </c>
      <c r="C22" s="8" t="s">
        <v>644</v>
      </c>
      <c r="D22" s="8"/>
    </row>
    <row r="23" spans="2:4" x14ac:dyDescent="0.25">
      <c r="B23" s="8" t="s">
        <v>88</v>
      </c>
      <c r="C23" s="8" t="s">
        <v>1786</v>
      </c>
      <c r="D23" s="8"/>
    </row>
    <row r="24" spans="2:4" x14ac:dyDescent="0.25">
      <c r="B24" s="11" t="s">
        <v>90</v>
      </c>
      <c r="C24" s="8" t="s">
        <v>91</v>
      </c>
      <c r="D24" s="8">
        <v>32</v>
      </c>
    </row>
    <row r="25" spans="2:4" x14ac:dyDescent="0.25">
      <c r="B25" s="11" t="s">
        <v>90</v>
      </c>
      <c r="C25" s="21" t="s">
        <v>92</v>
      </c>
      <c r="D25" s="8">
        <v>32</v>
      </c>
    </row>
    <row r="26" spans="2:4" x14ac:dyDescent="0.25">
      <c r="B26" s="11" t="s">
        <v>90</v>
      </c>
      <c r="C26" s="21" t="s">
        <v>93</v>
      </c>
      <c r="D26" s="8">
        <v>8</v>
      </c>
    </row>
    <row r="28" spans="2:4" x14ac:dyDescent="0.25">
      <c r="B28" s="4" t="s">
        <v>1549</v>
      </c>
    </row>
    <row r="29" spans="2:4" x14ac:dyDescent="0.25">
      <c r="B29" s="4" t="s">
        <v>1798</v>
      </c>
    </row>
    <row r="30" spans="2:4" x14ac:dyDescent="0.25">
      <c r="B30" s="4" t="s">
        <v>1799</v>
      </c>
    </row>
    <row r="31" spans="2:4" x14ac:dyDescent="0.25">
      <c r="B31" s="4" t="s">
        <v>1800</v>
      </c>
    </row>
    <row r="32" spans="2:4" x14ac:dyDescent="0.25">
      <c r="B32" s="4" t="s">
        <v>1801</v>
      </c>
    </row>
    <row r="33" spans="1:5" x14ac:dyDescent="0.25">
      <c r="B33" s="4" t="s">
        <v>1802</v>
      </c>
    </row>
    <row r="34" spans="1:5" x14ac:dyDescent="0.25">
      <c r="B34" s="4" t="s">
        <v>1803</v>
      </c>
    </row>
    <row r="35" spans="1:5" x14ac:dyDescent="0.25">
      <c r="B35" s="4" t="s">
        <v>1804</v>
      </c>
    </row>
    <row r="38" spans="1:5" x14ac:dyDescent="0.25">
      <c r="A38" s="3" t="s">
        <v>1805</v>
      </c>
    </row>
    <row r="39" spans="1:5" x14ac:dyDescent="0.25">
      <c r="B39" s="4" t="s">
        <v>1806</v>
      </c>
    </row>
    <row r="40" spans="1:5" x14ac:dyDescent="0.25">
      <c r="B40" s="74" t="s">
        <v>1807</v>
      </c>
      <c r="C40" s="74" t="s">
        <v>1519</v>
      </c>
      <c r="D40" s="38"/>
      <c r="E40" s="39"/>
    </row>
    <row r="41" spans="1:5" x14ac:dyDescent="0.25">
      <c r="B41" s="74" t="s">
        <v>1808</v>
      </c>
      <c r="C41" s="74" t="s">
        <v>1809</v>
      </c>
      <c r="D41" s="38"/>
      <c r="E41" s="39"/>
    </row>
    <row r="42" spans="1:5" x14ac:dyDescent="0.25">
      <c r="B42" s="74" t="s">
        <v>1810</v>
      </c>
      <c r="C42" s="74" t="s">
        <v>1811</v>
      </c>
      <c r="D42" s="38"/>
      <c r="E42" s="39"/>
    </row>
    <row r="43" spans="1:5" x14ac:dyDescent="0.25">
      <c r="B43" s="74" t="s">
        <v>1812</v>
      </c>
      <c r="C43" s="74" t="s">
        <v>1813</v>
      </c>
      <c r="D43" s="38"/>
      <c r="E43" s="39"/>
    </row>
    <row r="44" spans="1:5" x14ac:dyDescent="0.25">
      <c r="B44" s="74" t="s">
        <v>1814</v>
      </c>
      <c r="C44" s="74" t="s">
        <v>1815</v>
      </c>
      <c r="D44" s="38"/>
      <c r="E44" s="39"/>
    </row>
    <row r="45" spans="1:5" x14ac:dyDescent="0.25">
      <c r="B45" s="74" t="s">
        <v>1816</v>
      </c>
      <c r="C45" s="74" t="s">
        <v>1817</v>
      </c>
      <c r="D45" s="38"/>
      <c r="E45" s="39"/>
    </row>
    <row r="46" spans="1:5" x14ac:dyDescent="0.25">
      <c r="B46" s="74" t="s">
        <v>1818</v>
      </c>
      <c r="C46" s="74" t="s">
        <v>1819</v>
      </c>
      <c r="D46" s="38"/>
      <c r="E46" s="39"/>
    </row>
    <row r="47" spans="1:5" x14ac:dyDescent="0.25">
      <c r="B47" s="74" t="s">
        <v>1820</v>
      </c>
      <c r="C47" s="74" t="s">
        <v>1821</v>
      </c>
      <c r="D47" s="38"/>
      <c r="E47" s="39"/>
    </row>
    <row r="48" spans="1:5" x14ac:dyDescent="0.25">
      <c r="B48" s="74" t="s">
        <v>1822</v>
      </c>
      <c r="C48" s="74" t="s">
        <v>1823</v>
      </c>
      <c r="D48" s="38"/>
      <c r="E48" s="39"/>
    </row>
    <row r="50" spans="1:6" x14ac:dyDescent="0.25">
      <c r="B50" s="4" t="s">
        <v>1824</v>
      </c>
    </row>
    <row r="51" spans="1:6" x14ac:dyDescent="0.25">
      <c r="B51" s="4" t="s">
        <v>1825</v>
      </c>
    </row>
    <row r="52" spans="1:6" x14ac:dyDescent="0.25">
      <c r="B52" s="4" t="s">
        <v>1826</v>
      </c>
    </row>
    <row r="53" spans="1:6" x14ac:dyDescent="0.25">
      <c r="B53" s="4" t="s">
        <v>1827</v>
      </c>
    </row>
    <row r="56" spans="1:6" x14ac:dyDescent="0.25">
      <c r="A56" s="3" t="s">
        <v>1828</v>
      </c>
    </row>
    <row r="57" spans="1:6" x14ac:dyDescent="0.25">
      <c r="B57" s="4" t="s">
        <v>1829</v>
      </c>
    </row>
    <row r="58" spans="1:6" x14ac:dyDescent="0.25">
      <c r="B58" s="4" t="s">
        <v>1830</v>
      </c>
    </row>
    <row r="59" spans="1:6" x14ac:dyDescent="0.25">
      <c r="B59" s="4" t="s">
        <v>1831</v>
      </c>
    </row>
    <row r="61" spans="1:6" x14ac:dyDescent="0.25">
      <c r="B61" s="4" t="s">
        <v>1476</v>
      </c>
    </row>
    <row r="62" spans="1:6" x14ac:dyDescent="0.25">
      <c r="B62" s="6" t="s">
        <v>428</v>
      </c>
      <c r="C62" s="6" t="s">
        <v>245</v>
      </c>
      <c r="D62" s="6"/>
      <c r="E62" s="6"/>
      <c r="F62" s="6"/>
    </row>
    <row r="63" spans="1:6" x14ac:dyDescent="0.25">
      <c r="B63" s="6" t="s">
        <v>182</v>
      </c>
      <c r="C63" s="6" t="s">
        <v>1832</v>
      </c>
      <c r="D63" s="6" t="s">
        <v>1833</v>
      </c>
      <c r="E63" s="6" t="s">
        <v>1834</v>
      </c>
      <c r="F63" s="6" t="s">
        <v>909</v>
      </c>
    </row>
    <row r="64" spans="1:6" x14ac:dyDescent="0.25">
      <c r="B64" s="6" t="s">
        <v>182</v>
      </c>
      <c r="C64" s="6" t="s">
        <v>1832</v>
      </c>
      <c r="D64" s="6" t="s">
        <v>1833</v>
      </c>
      <c r="E64" s="6" t="s">
        <v>1834</v>
      </c>
      <c r="F64" s="6" t="s">
        <v>909</v>
      </c>
    </row>
    <row r="65" spans="2:6" x14ac:dyDescent="0.25">
      <c r="B65" s="6" t="s">
        <v>1598</v>
      </c>
      <c r="C65" s="6"/>
      <c r="D65" s="6"/>
      <c r="E65" s="6"/>
      <c r="F65" s="6"/>
    </row>
    <row r="67" spans="2:6" x14ac:dyDescent="0.25">
      <c r="B67" s="4" t="s">
        <v>1159</v>
      </c>
    </row>
    <row r="68" spans="2:6" x14ac:dyDescent="0.25">
      <c r="B68" s="77" t="s">
        <v>181</v>
      </c>
      <c r="C68" s="77" t="s">
        <v>87</v>
      </c>
      <c r="D68" s="77"/>
      <c r="E68" s="77"/>
    </row>
    <row r="69" spans="2:6" x14ac:dyDescent="0.25">
      <c r="B69" s="77" t="s">
        <v>21</v>
      </c>
      <c r="C69" s="76" t="s">
        <v>91</v>
      </c>
      <c r="D69" s="78" t="s">
        <v>92</v>
      </c>
      <c r="E69" s="78" t="s">
        <v>93</v>
      </c>
    </row>
    <row r="70" spans="2:6" x14ac:dyDescent="0.25">
      <c r="B70" s="77" t="s">
        <v>182</v>
      </c>
      <c r="C70" s="77" t="s">
        <v>1282</v>
      </c>
      <c r="D70" s="77" t="s">
        <v>1283</v>
      </c>
      <c r="E70" s="79">
        <v>5</v>
      </c>
    </row>
    <row r="71" spans="2:6" x14ac:dyDescent="0.25">
      <c r="B71" s="77" t="s">
        <v>182</v>
      </c>
      <c r="C71" s="77" t="s">
        <v>1284</v>
      </c>
      <c r="D71" s="77" t="s">
        <v>1285</v>
      </c>
      <c r="E71" s="79">
        <v>2</v>
      </c>
    </row>
    <row r="72" spans="2:6" x14ac:dyDescent="0.25">
      <c r="B72" s="77" t="s">
        <v>182</v>
      </c>
      <c r="C72" s="77" t="s">
        <v>1286</v>
      </c>
      <c r="D72" s="77" t="s">
        <v>1287</v>
      </c>
      <c r="E72" s="79">
        <v>3</v>
      </c>
    </row>
    <row r="74" spans="2:6" x14ac:dyDescent="0.25">
      <c r="B74" s="4" t="s">
        <v>1549</v>
      </c>
    </row>
    <row r="75" spans="2:6" x14ac:dyDescent="0.25">
      <c r="B75" s="4" t="s">
        <v>1838</v>
      </c>
    </row>
    <row r="76" spans="2:6" x14ac:dyDescent="0.25">
      <c r="B76" s="4" t="s">
        <v>1835</v>
      </c>
    </row>
    <row r="77" spans="2:6" x14ac:dyDescent="0.25">
      <c r="B77" s="4" t="s">
        <v>1836</v>
      </c>
    </row>
    <row r="78" spans="2:6" x14ac:dyDescent="0.25">
      <c r="B78" s="4" t="s">
        <v>1837</v>
      </c>
    </row>
    <row r="79" spans="2:6" x14ac:dyDescent="0.25">
      <c r="B79" s="4" t="s">
        <v>1839</v>
      </c>
    </row>
    <row r="82" spans="1:3" x14ac:dyDescent="0.25">
      <c r="A82" s="3" t="s">
        <v>1840</v>
      </c>
    </row>
    <row r="83" spans="1:3" x14ac:dyDescent="0.25">
      <c r="B83" s="4" t="s">
        <v>1841</v>
      </c>
    </row>
    <row r="84" spans="1:3" x14ac:dyDescent="0.25">
      <c r="B84" s="4" t="s">
        <v>1842</v>
      </c>
    </row>
    <row r="85" spans="1:3" x14ac:dyDescent="0.25">
      <c r="B85" s="4" t="s">
        <v>1843</v>
      </c>
    </row>
    <row r="86" spans="1:3" x14ac:dyDescent="0.25">
      <c r="B86" s="4" t="s">
        <v>1598</v>
      </c>
    </row>
    <row r="88" spans="1:3" x14ac:dyDescent="0.25">
      <c r="B88" s="4" t="s">
        <v>1844</v>
      </c>
    </row>
    <row r="89" spans="1:3" x14ac:dyDescent="0.25">
      <c r="B89" s="4" t="s">
        <v>1845</v>
      </c>
    </row>
    <row r="90" spans="1:3" x14ac:dyDescent="0.25">
      <c r="B90" s="4" t="s">
        <v>1846</v>
      </c>
    </row>
    <row r="93" spans="1:3" x14ac:dyDescent="0.25">
      <c r="A93" s="3" t="s">
        <v>1848</v>
      </c>
    </row>
    <row r="95" spans="1:3" x14ac:dyDescent="0.25">
      <c r="B95" s="6" t="s">
        <v>88</v>
      </c>
      <c r="C95" s="6">
        <v>500</v>
      </c>
    </row>
    <row r="96" spans="1:3" x14ac:dyDescent="0.25">
      <c r="B96" s="4" t="s">
        <v>1794</v>
      </c>
    </row>
    <row r="97" spans="1:4" x14ac:dyDescent="0.25">
      <c r="B97" s="4" t="s">
        <v>1849</v>
      </c>
    </row>
    <row r="98" spans="1:4" x14ac:dyDescent="0.25">
      <c r="B98" s="4" t="s">
        <v>1850</v>
      </c>
    </row>
    <row r="101" spans="1:4" x14ac:dyDescent="0.25">
      <c r="A101" s="3" t="s">
        <v>1517</v>
      </c>
    </row>
    <row r="102" spans="1:4" x14ac:dyDescent="0.25">
      <c r="B102" s="6" t="s">
        <v>1518</v>
      </c>
      <c r="C102" s="74" t="s">
        <v>1519</v>
      </c>
      <c r="D102" s="39"/>
    </row>
    <row r="103" spans="1:4" x14ac:dyDescent="0.25">
      <c r="B103" s="6" t="s">
        <v>418</v>
      </c>
      <c r="C103" s="74" t="s">
        <v>1851</v>
      </c>
      <c r="D103" s="39"/>
    </row>
    <row r="104" spans="1:4" x14ac:dyDescent="0.25">
      <c r="B104" s="6" t="s">
        <v>1852</v>
      </c>
      <c r="C104" s="74" t="s">
        <v>1853</v>
      </c>
      <c r="D104" s="39"/>
    </row>
    <row r="105" spans="1:4" x14ac:dyDescent="0.25">
      <c r="B105" s="6" t="s">
        <v>1854</v>
      </c>
      <c r="C105" s="74" t="s">
        <v>1855</v>
      </c>
      <c r="D105" s="39"/>
    </row>
    <row r="106" spans="1:4" x14ac:dyDescent="0.25">
      <c r="B106" s="6" t="s">
        <v>1856</v>
      </c>
      <c r="C106" s="74" t="s">
        <v>1857</v>
      </c>
      <c r="D106" s="39"/>
    </row>
    <row r="107" spans="1:4" x14ac:dyDescent="0.25">
      <c r="B107" s="6" t="s">
        <v>1727</v>
      </c>
      <c r="C107" s="74" t="s">
        <v>1858</v>
      </c>
      <c r="D107" s="39"/>
    </row>
    <row r="108" spans="1:4" x14ac:dyDescent="0.25">
      <c r="B108" s="6" t="s">
        <v>1859</v>
      </c>
      <c r="C108" s="74" t="s">
        <v>1860</v>
      </c>
      <c r="D108" s="39"/>
    </row>
    <row r="109" spans="1:4" x14ac:dyDescent="0.25">
      <c r="B109" s="6" t="s">
        <v>1706</v>
      </c>
      <c r="C109" s="74" t="s">
        <v>1861</v>
      </c>
      <c r="D109" s="39"/>
    </row>
  </sheetData>
  <phoneticPr fontId="1"/>
  <pageMargins left="0.75" right="0.35" top="1" bottom="1" header="0.51200000000000001" footer="0.51200000000000001"/>
  <pageSetup paperSize="9" scale="8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F78B9-75D0-4F46-A957-F14CAA850EAF}">
  <dimension ref="A1:Y162"/>
  <sheetViews>
    <sheetView topLeftCell="A128" zoomScale="85" zoomScaleNormal="85" workbookViewId="0">
      <selection activeCell="L160" sqref="L160"/>
    </sheetView>
  </sheetViews>
  <sheetFormatPr defaultRowHeight="15.75" x14ac:dyDescent="0.25"/>
  <cols>
    <col min="1" max="1" width="3.25" style="3" customWidth="1"/>
    <col min="2" max="2" width="25.625" style="4" customWidth="1"/>
    <col min="3" max="3" width="35.5" style="4" customWidth="1"/>
    <col min="4" max="4" width="6.75" style="4" bestFit="1" customWidth="1"/>
    <col min="5" max="5" width="11.875" style="4" bestFit="1" customWidth="1"/>
    <col min="6" max="6" width="9" style="4"/>
    <col min="7" max="7" width="18.875" style="4" bestFit="1" customWidth="1"/>
    <col min="8" max="8" width="12.75" style="2" bestFit="1" customWidth="1"/>
    <col min="9" max="23" width="5.875" style="2" customWidth="1"/>
    <col min="24" max="16384" width="9" style="2"/>
  </cols>
  <sheetData>
    <row r="1" spans="1:7" s="3" customFormat="1" ht="19.5" x14ac:dyDescent="0.3">
      <c r="A1" s="1" t="s">
        <v>1870</v>
      </c>
      <c r="B1" s="4"/>
      <c r="C1" s="4"/>
      <c r="D1" s="4"/>
      <c r="E1" s="4"/>
      <c r="F1" s="5"/>
      <c r="G1" s="5"/>
    </row>
    <row r="3" spans="1:7" x14ac:dyDescent="0.25">
      <c r="A3" s="3" t="s">
        <v>1871</v>
      </c>
    </row>
    <row r="4" spans="1:7" x14ac:dyDescent="0.25">
      <c r="B4" s="4" t="s">
        <v>1872</v>
      </c>
    </row>
    <row r="5" spans="1:7" x14ac:dyDescent="0.25">
      <c r="B5" s="4" t="s">
        <v>1873</v>
      </c>
    </row>
    <row r="6" spans="1:7" x14ac:dyDescent="0.25">
      <c r="B6" s="4" t="s">
        <v>1874</v>
      </c>
    </row>
    <row r="7" spans="1:7" x14ac:dyDescent="0.25">
      <c r="B7" s="4" t="s">
        <v>1875</v>
      </c>
    </row>
    <row r="8" spans="1:7" x14ac:dyDescent="0.25">
      <c r="B8" s="4" t="s">
        <v>1876</v>
      </c>
    </row>
    <row r="11" spans="1:7" x14ac:dyDescent="0.25">
      <c r="A11" s="3" t="s">
        <v>1677</v>
      </c>
    </row>
    <row r="12" spans="1:7" x14ac:dyDescent="0.25">
      <c r="B12" s="6" t="s">
        <v>248</v>
      </c>
      <c r="C12" s="6" t="s">
        <v>420</v>
      </c>
      <c r="D12" s="6" t="s">
        <v>534</v>
      </c>
      <c r="E12" s="6" t="s">
        <v>1877</v>
      </c>
      <c r="F12" s="6"/>
      <c r="G12" s="7"/>
    </row>
    <row r="13" spans="1:7" x14ac:dyDescent="0.25">
      <c r="B13" s="6" t="s">
        <v>248</v>
      </c>
      <c r="C13" s="6" t="s">
        <v>420</v>
      </c>
      <c r="D13" s="6" t="s">
        <v>534</v>
      </c>
      <c r="E13" s="6" t="s">
        <v>1877</v>
      </c>
      <c r="F13" s="6" t="s">
        <v>1878</v>
      </c>
      <c r="G13" s="7"/>
    </row>
    <row r="14" spans="1:7" x14ac:dyDescent="0.25">
      <c r="B14" s="6" t="s">
        <v>248</v>
      </c>
      <c r="C14" s="6" t="s">
        <v>420</v>
      </c>
      <c r="D14" s="6" t="s">
        <v>534</v>
      </c>
      <c r="E14" s="6" t="s">
        <v>1877</v>
      </c>
      <c r="F14" s="6" t="s">
        <v>1878</v>
      </c>
      <c r="G14" s="7" t="s">
        <v>1879</v>
      </c>
    </row>
    <row r="16" spans="1:7" x14ac:dyDescent="0.25">
      <c r="B16" s="4" t="s">
        <v>1880</v>
      </c>
    </row>
    <row r="17" spans="1:23" x14ac:dyDescent="0.25">
      <c r="B17" s="6" t="s">
        <v>451</v>
      </c>
      <c r="C17" s="6" t="s">
        <v>1881</v>
      </c>
    </row>
    <row r="18" spans="1:23" x14ac:dyDescent="0.25">
      <c r="B18" s="6" t="s">
        <v>248</v>
      </c>
      <c r="C18" s="6" t="s">
        <v>1882</v>
      </c>
    </row>
    <row r="19" spans="1:23" x14ac:dyDescent="0.25">
      <c r="B19" s="6" t="s">
        <v>249</v>
      </c>
      <c r="C19" s="6" t="s">
        <v>1883</v>
      </c>
    </row>
    <row r="20" spans="1:23" x14ac:dyDescent="0.25">
      <c r="B20" s="6" t="s">
        <v>250</v>
      </c>
      <c r="C20" s="6" t="s">
        <v>1884</v>
      </c>
    </row>
    <row r="23" spans="1:23" x14ac:dyDescent="0.25">
      <c r="A23" s="3" t="s">
        <v>1885</v>
      </c>
    </row>
    <row r="24" spans="1:23" x14ac:dyDescent="0.25">
      <c r="B24" s="4" t="s">
        <v>1886</v>
      </c>
    </row>
    <row r="25" spans="1:23" x14ac:dyDescent="0.25">
      <c r="B25" s="6" t="s">
        <v>1887</v>
      </c>
      <c r="C25" s="6" t="s">
        <v>1519</v>
      </c>
    </row>
    <row r="26" spans="1:23" x14ac:dyDescent="0.25">
      <c r="B26" s="6" t="s">
        <v>1888</v>
      </c>
      <c r="C26" s="6" t="s">
        <v>1889</v>
      </c>
    </row>
    <row r="27" spans="1:23" x14ac:dyDescent="0.25">
      <c r="B27" s="6" t="s">
        <v>1890</v>
      </c>
      <c r="C27" s="6" t="s">
        <v>1891</v>
      </c>
    </row>
    <row r="30" spans="1:23" x14ac:dyDescent="0.25">
      <c r="A30" s="3" t="s">
        <v>1892</v>
      </c>
    </row>
    <row r="31" spans="1:23" ht="16.5" thickBot="1" x14ac:dyDescent="0.3">
      <c r="B31" s="2" t="s">
        <v>1159</v>
      </c>
      <c r="H31" s="2" t="s">
        <v>1749</v>
      </c>
    </row>
    <row r="32" spans="1:23" ht="16.5" thickBot="1" x14ac:dyDescent="0.3">
      <c r="B32" s="6" t="s">
        <v>343</v>
      </c>
      <c r="C32" s="6" t="s">
        <v>1531</v>
      </c>
      <c r="D32" s="6" t="s">
        <v>1894</v>
      </c>
      <c r="E32" s="6"/>
      <c r="H32" s="9" t="s">
        <v>64</v>
      </c>
      <c r="I32" s="80" t="s">
        <v>39</v>
      </c>
      <c r="J32" s="60" t="s">
        <v>122</v>
      </c>
      <c r="K32" s="80" t="s">
        <v>39</v>
      </c>
      <c r="L32" s="60" t="s">
        <v>122</v>
      </c>
      <c r="M32" s="80" t="s">
        <v>39</v>
      </c>
      <c r="N32" s="60" t="s">
        <v>122</v>
      </c>
      <c r="O32" s="80" t="s">
        <v>39</v>
      </c>
      <c r="P32" s="60" t="s">
        <v>122</v>
      </c>
      <c r="Q32" s="80" t="s">
        <v>39</v>
      </c>
      <c r="R32" s="60" t="s">
        <v>122</v>
      </c>
      <c r="S32" s="80" t="s">
        <v>39</v>
      </c>
      <c r="T32" s="60" t="s">
        <v>122</v>
      </c>
      <c r="U32" s="9"/>
      <c r="V32" s="80" t="s">
        <v>39</v>
      </c>
      <c r="W32" s="60" t="s">
        <v>122</v>
      </c>
    </row>
    <row r="33" spans="1:23" ht="16.5" thickBot="1" x14ac:dyDescent="0.3">
      <c r="B33" s="6" t="s">
        <v>343</v>
      </c>
      <c r="C33" s="6" t="s">
        <v>1893</v>
      </c>
      <c r="D33" s="6">
        <v>8</v>
      </c>
      <c r="E33" s="6" t="s">
        <v>1709</v>
      </c>
      <c r="H33" s="9"/>
      <c r="I33" s="9"/>
      <c r="J33" s="9"/>
      <c r="K33" s="9"/>
      <c r="L33" s="9"/>
      <c r="M33" s="9"/>
      <c r="N33" s="9"/>
      <c r="O33" s="9"/>
      <c r="P33" s="9"/>
      <c r="Q33" s="9"/>
      <c r="R33" s="9"/>
      <c r="S33" s="9"/>
      <c r="T33" s="9"/>
      <c r="U33" s="9"/>
      <c r="V33" s="9"/>
      <c r="W33" s="9"/>
    </row>
    <row r="34" spans="1:23" ht="16.5" thickBot="1" x14ac:dyDescent="0.3">
      <c r="B34" s="6" t="s">
        <v>248</v>
      </c>
      <c r="C34" s="6" t="s">
        <v>1895</v>
      </c>
      <c r="D34" s="6" t="s">
        <v>1709</v>
      </c>
      <c r="E34" s="6" t="s">
        <v>1862</v>
      </c>
      <c r="H34" s="9" t="s">
        <v>1294</v>
      </c>
      <c r="I34" s="81">
        <v>0</v>
      </c>
      <c r="J34" s="82"/>
      <c r="K34" s="81">
        <v>1</v>
      </c>
      <c r="L34" s="82"/>
      <c r="M34" s="81">
        <v>2</v>
      </c>
      <c r="N34" s="82"/>
      <c r="O34" s="81">
        <v>3</v>
      </c>
      <c r="P34" s="82"/>
      <c r="Q34" s="81">
        <v>4</v>
      </c>
      <c r="R34" s="82"/>
      <c r="S34" s="81">
        <v>5</v>
      </c>
      <c r="T34" s="82"/>
      <c r="U34" s="9" t="s">
        <v>1865</v>
      </c>
      <c r="V34" s="81">
        <v>511</v>
      </c>
      <c r="W34" s="82"/>
    </row>
    <row r="35" spans="1:23" ht="16.5" thickBot="1" x14ac:dyDescent="0.3">
      <c r="B35" s="6" t="s">
        <v>251</v>
      </c>
      <c r="C35" s="6" t="s">
        <v>1896</v>
      </c>
      <c r="D35" s="6"/>
      <c r="E35" s="6"/>
      <c r="H35" s="9"/>
      <c r="I35" s="9"/>
      <c r="J35" s="9"/>
      <c r="K35" s="9"/>
      <c r="L35" s="9"/>
      <c r="M35" s="9"/>
      <c r="N35" s="9"/>
      <c r="O35" s="9"/>
      <c r="P35" s="9"/>
      <c r="Q35" s="9"/>
      <c r="R35" s="9"/>
      <c r="S35" s="9"/>
      <c r="T35" s="9"/>
      <c r="U35" s="9"/>
      <c r="V35" s="9"/>
      <c r="W35" s="9"/>
    </row>
    <row r="36" spans="1:23" ht="16.5" thickBot="1" x14ac:dyDescent="0.3">
      <c r="H36" s="9" t="s">
        <v>1289</v>
      </c>
      <c r="I36" s="81" t="s">
        <v>1295</v>
      </c>
      <c r="J36" s="82"/>
      <c r="K36" s="81" t="s">
        <v>1296</v>
      </c>
      <c r="L36" s="82"/>
      <c r="M36" s="81" t="s">
        <v>1297</v>
      </c>
      <c r="N36" s="82"/>
      <c r="O36" s="81" t="s">
        <v>1298</v>
      </c>
      <c r="P36" s="82"/>
      <c r="Q36" s="81" t="s">
        <v>1299</v>
      </c>
      <c r="R36" s="82"/>
      <c r="S36" s="81" t="s">
        <v>1300</v>
      </c>
      <c r="T36" s="82"/>
      <c r="U36" s="9"/>
      <c r="V36" s="81" t="s">
        <v>1301</v>
      </c>
      <c r="W36" s="82"/>
    </row>
    <row r="38" spans="1:23" x14ac:dyDescent="0.25">
      <c r="A38" s="3" t="s">
        <v>1897</v>
      </c>
    </row>
    <row r="39" spans="1:23" x14ac:dyDescent="0.25">
      <c r="B39" s="2" t="s">
        <v>1159</v>
      </c>
    </row>
    <row r="40" spans="1:23" x14ac:dyDescent="0.25">
      <c r="B40" s="11" t="s">
        <v>68</v>
      </c>
      <c r="C40" s="11" t="s">
        <v>1302</v>
      </c>
      <c r="D40" s="9"/>
      <c r="E40" s="9"/>
      <c r="F40" s="9"/>
      <c r="G40" s="9"/>
      <c r="H40" s="9"/>
      <c r="I40" s="9"/>
      <c r="J40" s="9"/>
      <c r="K40" s="9"/>
      <c r="L40" s="9"/>
      <c r="M40" s="9"/>
    </row>
    <row r="41" spans="1:23" x14ac:dyDescent="0.25">
      <c r="B41" s="11" t="s">
        <v>68</v>
      </c>
      <c r="C41" s="11" t="s">
        <v>1303</v>
      </c>
      <c r="D41" s="9"/>
      <c r="E41" s="9"/>
      <c r="F41" s="9"/>
      <c r="G41" s="9"/>
      <c r="H41" s="9"/>
      <c r="I41" s="9"/>
      <c r="J41" s="9"/>
      <c r="K41" s="9"/>
      <c r="L41" s="9"/>
      <c r="M41" s="9"/>
    </row>
    <row r="42" spans="1:23" x14ac:dyDescent="0.25">
      <c r="B42" s="11" t="s">
        <v>68</v>
      </c>
      <c r="C42" s="11" t="s">
        <v>1304</v>
      </c>
      <c r="D42" s="9" t="s">
        <v>1898</v>
      </c>
      <c r="E42" s="9"/>
      <c r="H42" s="9"/>
      <c r="I42" s="9"/>
      <c r="J42" s="9"/>
      <c r="K42" s="9"/>
      <c r="L42" s="9"/>
      <c r="M42" s="9"/>
    </row>
    <row r="43" spans="1:23" x14ac:dyDescent="0.25">
      <c r="B43" s="11" t="s">
        <v>68</v>
      </c>
      <c r="C43" s="11" t="s">
        <v>1305</v>
      </c>
      <c r="D43" s="9"/>
      <c r="E43" s="9"/>
      <c r="F43" s="9"/>
      <c r="G43" s="9"/>
      <c r="H43" s="9"/>
      <c r="I43" s="9"/>
      <c r="J43" s="9"/>
      <c r="K43" s="9"/>
      <c r="L43" s="9"/>
      <c r="M43" s="9"/>
    </row>
    <row r="44" spans="1:23" x14ac:dyDescent="0.25">
      <c r="B44" s="11" t="s">
        <v>68</v>
      </c>
      <c r="C44" s="11" t="s">
        <v>1306</v>
      </c>
      <c r="D44" s="9" t="s">
        <v>1899</v>
      </c>
      <c r="E44" s="9"/>
      <c r="H44" s="9"/>
      <c r="I44" s="9"/>
      <c r="J44" s="9"/>
      <c r="K44" s="9"/>
      <c r="L44" s="9"/>
      <c r="M44" s="9"/>
    </row>
    <row r="45" spans="1:23" x14ac:dyDescent="0.25">
      <c r="B45" s="11" t="s">
        <v>68</v>
      </c>
      <c r="C45" s="11" t="s">
        <v>117</v>
      </c>
      <c r="D45" s="9"/>
      <c r="E45" s="9"/>
      <c r="F45" s="9"/>
      <c r="G45" s="9"/>
      <c r="H45" s="9"/>
      <c r="I45" s="9"/>
      <c r="J45" s="9"/>
      <c r="K45" s="9"/>
      <c r="L45" s="9"/>
      <c r="M45" s="9"/>
    </row>
    <row r="47" spans="1:23" x14ac:dyDescent="0.25">
      <c r="B47" s="4" t="s">
        <v>1900</v>
      </c>
    </row>
    <row r="48" spans="1:23" x14ac:dyDescent="0.25">
      <c r="B48" s="4" t="s">
        <v>1901</v>
      </c>
    </row>
    <row r="51" spans="1:25" x14ac:dyDescent="0.25">
      <c r="A51" s="3" t="s">
        <v>1902</v>
      </c>
    </row>
    <row r="52" spans="1:25" ht="16.5" thickBot="1" x14ac:dyDescent="0.3">
      <c r="B52" s="2" t="s">
        <v>1159</v>
      </c>
      <c r="H52" s="2" t="s">
        <v>1749</v>
      </c>
    </row>
    <row r="53" spans="1:25" ht="16.5" thickBot="1" x14ac:dyDescent="0.3">
      <c r="B53" s="11" t="s">
        <v>50</v>
      </c>
      <c r="C53" s="11" t="s">
        <v>1252</v>
      </c>
      <c r="D53" s="11" t="s">
        <v>1307</v>
      </c>
      <c r="E53" s="11"/>
      <c r="F53" s="11"/>
      <c r="G53" s="88"/>
      <c r="H53" s="9" t="s">
        <v>64</v>
      </c>
      <c r="I53" s="80" t="s">
        <v>39</v>
      </c>
      <c r="J53" s="60" t="s">
        <v>122</v>
      </c>
      <c r="K53" s="80" t="s">
        <v>39</v>
      </c>
      <c r="L53" s="60" t="s">
        <v>122</v>
      </c>
      <c r="M53" s="80" t="s">
        <v>39</v>
      </c>
      <c r="N53" s="60" t="s">
        <v>122</v>
      </c>
      <c r="O53" s="80" t="s">
        <v>39</v>
      </c>
      <c r="P53" s="60" t="s">
        <v>122</v>
      </c>
      <c r="Q53" s="80" t="s">
        <v>39</v>
      </c>
      <c r="R53" s="60" t="s">
        <v>122</v>
      </c>
      <c r="S53" s="80" t="s">
        <v>39</v>
      </c>
      <c r="T53" s="60" t="s">
        <v>122</v>
      </c>
      <c r="U53" s="9"/>
      <c r="V53" s="80" t="s">
        <v>39</v>
      </c>
      <c r="W53" s="60" t="s">
        <v>122</v>
      </c>
    </row>
    <row r="54" spans="1:25" ht="16.5" thickBot="1" x14ac:dyDescent="0.3">
      <c r="B54" s="11" t="s">
        <v>50</v>
      </c>
      <c r="C54" s="11" t="s">
        <v>1289</v>
      </c>
      <c r="D54" s="11">
        <v>1</v>
      </c>
      <c r="E54" s="11" t="s">
        <v>64</v>
      </c>
      <c r="F54" s="11"/>
      <c r="G54" s="88"/>
      <c r="H54" s="9"/>
      <c r="I54" s="9"/>
      <c r="J54" s="9"/>
      <c r="K54" s="9"/>
      <c r="L54" s="9"/>
      <c r="M54" s="9"/>
      <c r="N54" s="9"/>
      <c r="O54" s="9"/>
      <c r="P54" s="9"/>
      <c r="Q54" s="9"/>
      <c r="R54" s="9"/>
      <c r="S54" s="9"/>
      <c r="T54" s="9"/>
      <c r="U54" s="9"/>
      <c r="V54" s="9"/>
      <c r="W54" s="9"/>
    </row>
    <row r="55" spans="1:25" ht="16.5" thickBot="1" x14ac:dyDescent="0.3">
      <c r="B55" s="11" t="s">
        <v>1290</v>
      </c>
      <c r="C55" s="11" t="s">
        <v>1291</v>
      </c>
      <c r="D55" s="11" t="s">
        <v>64</v>
      </c>
      <c r="E55" s="11">
        <v>512</v>
      </c>
      <c r="F55" s="87">
        <v>2</v>
      </c>
      <c r="G55" s="89"/>
      <c r="H55" s="9" t="s">
        <v>1294</v>
      </c>
      <c r="I55" s="81">
        <v>0</v>
      </c>
      <c r="J55" s="83"/>
      <c r="K55" s="83"/>
      <c r="L55" s="82"/>
      <c r="M55" s="81">
        <v>1</v>
      </c>
      <c r="N55" s="83"/>
      <c r="O55" s="83"/>
      <c r="P55" s="82"/>
      <c r="Q55" s="81">
        <v>2</v>
      </c>
      <c r="R55" s="83"/>
      <c r="S55" s="83"/>
      <c r="T55" s="82"/>
      <c r="U55" s="9" t="s">
        <v>1865</v>
      </c>
      <c r="V55" s="81">
        <v>511</v>
      </c>
      <c r="W55" s="82"/>
    </row>
    <row r="56" spans="1:25" ht="16.5" thickBot="1" x14ac:dyDescent="0.3">
      <c r="B56" s="11" t="s">
        <v>1292</v>
      </c>
      <c r="C56" s="11" t="s">
        <v>1293</v>
      </c>
      <c r="D56" s="11"/>
      <c r="E56" s="11"/>
      <c r="F56" s="11"/>
      <c r="G56" s="88"/>
      <c r="H56" s="9"/>
      <c r="I56" s="9"/>
      <c r="J56" s="9"/>
      <c r="K56" s="9"/>
      <c r="L56" s="9"/>
      <c r="M56" s="9"/>
      <c r="N56" s="9"/>
      <c r="O56" s="9"/>
      <c r="P56" s="9"/>
      <c r="Q56" s="9"/>
      <c r="R56" s="9"/>
      <c r="S56" s="9"/>
      <c r="T56" s="9"/>
      <c r="U56" s="9"/>
      <c r="V56" s="9"/>
      <c r="W56" s="9"/>
    </row>
    <row r="57" spans="1:25" ht="16.5" thickBot="1" x14ac:dyDescent="0.3">
      <c r="H57" s="9" t="s">
        <v>1289</v>
      </c>
      <c r="I57" s="81" t="s">
        <v>1295</v>
      </c>
      <c r="J57" s="83"/>
      <c r="K57" s="83"/>
      <c r="L57" s="82"/>
      <c r="M57" s="81" t="s">
        <v>1296</v>
      </c>
      <c r="N57" s="83"/>
      <c r="O57" s="83"/>
      <c r="P57" s="82"/>
      <c r="Q57" s="81" t="s">
        <v>1297</v>
      </c>
      <c r="R57" s="83"/>
      <c r="S57" s="83"/>
      <c r="T57" s="82"/>
      <c r="U57" s="9"/>
      <c r="V57" s="81" t="s">
        <v>1301</v>
      </c>
      <c r="W57" s="82"/>
    </row>
    <row r="60" spans="1:25" x14ac:dyDescent="0.25">
      <c r="A60" s="3" t="s">
        <v>1903</v>
      </c>
    </row>
    <row r="61" spans="1:25" ht="16.5" thickBot="1" x14ac:dyDescent="0.3">
      <c r="B61" s="2" t="s">
        <v>1159</v>
      </c>
      <c r="H61" s="2" t="s">
        <v>1749</v>
      </c>
    </row>
    <row r="62" spans="1:25" ht="16.5" thickBot="1" x14ac:dyDescent="0.3">
      <c r="B62" s="6" t="s">
        <v>343</v>
      </c>
      <c r="C62" s="6" t="s">
        <v>1531</v>
      </c>
      <c r="D62" s="6" t="s">
        <v>1904</v>
      </c>
      <c r="E62" s="6"/>
      <c r="F62" s="6"/>
      <c r="G62" s="6"/>
      <c r="H62" s="9" t="s">
        <v>64</v>
      </c>
      <c r="I62" s="80" t="s">
        <v>39</v>
      </c>
      <c r="J62" s="60" t="s">
        <v>122</v>
      </c>
      <c r="K62" s="80" t="s">
        <v>39</v>
      </c>
      <c r="L62" s="60" t="s">
        <v>122</v>
      </c>
      <c r="M62" s="80" t="s">
        <v>39</v>
      </c>
      <c r="N62" s="60" t="s">
        <v>122</v>
      </c>
      <c r="O62" s="80" t="s">
        <v>39</v>
      </c>
      <c r="P62" s="60" t="s">
        <v>122</v>
      </c>
      <c r="Q62" s="80" t="s">
        <v>39</v>
      </c>
      <c r="R62" s="60" t="s">
        <v>122</v>
      </c>
      <c r="S62" s="80" t="s">
        <v>39</v>
      </c>
      <c r="T62" s="60" t="s">
        <v>122</v>
      </c>
      <c r="U62" s="9"/>
      <c r="V62" s="80" t="s">
        <v>39</v>
      </c>
      <c r="W62" s="60" t="s">
        <v>122</v>
      </c>
      <c r="X62" s="80" t="s">
        <v>39</v>
      </c>
      <c r="Y62" s="60" t="s">
        <v>122</v>
      </c>
    </row>
    <row r="63" spans="1:25" ht="16.5" thickBot="1" x14ac:dyDescent="0.3">
      <c r="B63" s="6" t="s">
        <v>343</v>
      </c>
      <c r="C63" s="6" t="s">
        <v>1893</v>
      </c>
      <c r="D63" s="6">
        <v>1</v>
      </c>
      <c r="E63" s="6" t="s">
        <v>1709</v>
      </c>
      <c r="F63" s="6"/>
      <c r="G63" s="6"/>
      <c r="H63" s="9"/>
      <c r="I63" s="9"/>
      <c r="J63" s="9"/>
      <c r="K63" s="9"/>
      <c r="L63" s="9"/>
      <c r="M63" s="9"/>
      <c r="N63" s="9"/>
      <c r="O63" s="9"/>
      <c r="P63" s="9"/>
      <c r="Q63" s="9"/>
      <c r="R63" s="9"/>
      <c r="S63" s="9"/>
      <c r="T63" s="9"/>
      <c r="U63" s="9"/>
      <c r="V63" s="9"/>
      <c r="W63" s="9"/>
      <c r="X63" s="9"/>
      <c r="Y63" s="9"/>
    </row>
    <row r="64" spans="1:25" ht="16.5" thickBot="1" x14ac:dyDescent="0.3">
      <c r="B64" s="6" t="s">
        <v>248</v>
      </c>
      <c r="C64" s="6" t="s">
        <v>1895</v>
      </c>
      <c r="D64" s="6" t="s">
        <v>1709</v>
      </c>
      <c r="E64" s="6">
        <v>4</v>
      </c>
      <c r="F64" s="6">
        <v>1</v>
      </c>
      <c r="G64" s="6" t="s">
        <v>1862</v>
      </c>
      <c r="H64" s="9" t="s">
        <v>1294</v>
      </c>
      <c r="I64" s="81">
        <v>0</v>
      </c>
      <c r="J64" s="82"/>
      <c r="K64" s="81">
        <v>1</v>
      </c>
      <c r="L64" s="82"/>
      <c r="M64" s="81">
        <v>2</v>
      </c>
      <c r="N64" s="82"/>
      <c r="O64" s="81">
        <v>3</v>
      </c>
      <c r="P64" s="82"/>
      <c r="Q64" s="81">
        <v>0</v>
      </c>
      <c r="R64" s="82"/>
      <c r="S64" s="81">
        <v>1</v>
      </c>
      <c r="T64" s="82"/>
      <c r="U64" s="9" t="s">
        <v>1865</v>
      </c>
      <c r="V64" s="81">
        <v>2</v>
      </c>
      <c r="W64" s="82"/>
      <c r="X64" s="81">
        <v>3</v>
      </c>
      <c r="Y64" s="82"/>
    </row>
    <row r="65" spans="1:25" ht="16.5" thickBot="1" x14ac:dyDescent="0.3">
      <c r="B65" s="6" t="s">
        <v>251</v>
      </c>
      <c r="C65" s="6" t="s">
        <v>1905</v>
      </c>
      <c r="D65" s="6"/>
      <c r="E65" s="6"/>
      <c r="F65" s="6"/>
      <c r="G65" s="6"/>
      <c r="H65" s="9"/>
      <c r="I65" s="9"/>
      <c r="J65" s="9"/>
      <c r="K65" s="9"/>
      <c r="L65" s="9"/>
      <c r="M65" s="9"/>
      <c r="N65" s="9"/>
      <c r="O65" s="9"/>
      <c r="P65" s="9"/>
      <c r="Q65" s="9"/>
      <c r="R65" s="9"/>
      <c r="S65" s="9"/>
      <c r="T65" s="9"/>
      <c r="U65" s="9"/>
      <c r="V65" s="9"/>
      <c r="W65" s="9"/>
      <c r="X65" s="9"/>
      <c r="Y65" s="9"/>
    </row>
    <row r="66" spans="1:25" ht="16.5" thickBot="1" x14ac:dyDescent="0.3">
      <c r="H66" s="9" t="s">
        <v>1309</v>
      </c>
      <c r="I66" s="81">
        <v>0</v>
      </c>
      <c r="J66" s="83"/>
      <c r="K66" s="83"/>
      <c r="L66" s="83"/>
      <c r="M66" s="83"/>
      <c r="N66" s="83"/>
      <c r="O66" s="83"/>
      <c r="P66" s="82"/>
      <c r="Q66" s="81">
        <v>1</v>
      </c>
      <c r="R66" s="83"/>
      <c r="S66" s="83"/>
      <c r="T66" s="82"/>
      <c r="U66" s="9"/>
      <c r="V66" s="81">
        <v>511</v>
      </c>
      <c r="W66" s="83"/>
      <c r="X66" s="83"/>
      <c r="Y66" s="82"/>
    </row>
    <row r="67" spans="1:25" ht="16.5" thickBot="1" x14ac:dyDescent="0.3">
      <c r="H67" s="9"/>
      <c r="I67" s="9"/>
      <c r="J67" s="9"/>
      <c r="K67" s="9"/>
      <c r="L67" s="9"/>
      <c r="M67" s="9"/>
      <c r="N67" s="9"/>
      <c r="O67" s="9"/>
      <c r="P67" s="9"/>
      <c r="Q67" s="9"/>
      <c r="R67" s="9"/>
      <c r="S67" s="9"/>
      <c r="T67" s="9"/>
      <c r="U67" s="9"/>
      <c r="V67" s="9"/>
      <c r="W67" s="9"/>
      <c r="X67" s="9"/>
      <c r="Y67" s="9"/>
    </row>
    <row r="68" spans="1:25" ht="16.5" thickBot="1" x14ac:dyDescent="0.3">
      <c r="H68" s="9" t="s">
        <v>1289</v>
      </c>
      <c r="I68" s="81" t="s">
        <v>1310</v>
      </c>
      <c r="J68" s="82"/>
      <c r="K68" s="81" t="s">
        <v>1311</v>
      </c>
      <c r="L68" s="82"/>
      <c r="M68" s="81" t="s">
        <v>1312</v>
      </c>
      <c r="N68" s="82"/>
      <c r="O68" s="81" t="s">
        <v>1313</v>
      </c>
      <c r="P68" s="82"/>
      <c r="Q68" s="81" t="s">
        <v>1314</v>
      </c>
      <c r="R68" s="82"/>
      <c r="S68" s="81" t="s">
        <v>1315</v>
      </c>
      <c r="T68" s="82"/>
      <c r="U68" s="9"/>
      <c r="V68" s="81" t="s">
        <v>1316</v>
      </c>
      <c r="W68" s="82"/>
      <c r="X68" s="81" t="s">
        <v>1317</v>
      </c>
      <c r="Y68" s="82"/>
    </row>
    <row r="71" spans="1:25" x14ac:dyDescent="0.25">
      <c r="A71" s="3" t="s">
        <v>1906</v>
      </c>
    </row>
    <row r="72" spans="1:25" x14ac:dyDescent="0.25">
      <c r="B72" s="2" t="s">
        <v>1159</v>
      </c>
    </row>
    <row r="73" spans="1:25" x14ac:dyDescent="0.25">
      <c r="B73" s="11" t="s">
        <v>1290</v>
      </c>
      <c r="C73" s="11" t="s">
        <v>1291</v>
      </c>
      <c r="D73" s="11" t="s">
        <v>64</v>
      </c>
      <c r="E73" s="11" t="s">
        <v>1318</v>
      </c>
    </row>
    <row r="74" spans="1:25" x14ac:dyDescent="0.25">
      <c r="B74" s="11" t="s">
        <v>1319</v>
      </c>
      <c r="C74" s="11" t="s">
        <v>1320</v>
      </c>
      <c r="D74" s="11" t="s">
        <v>52</v>
      </c>
      <c r="E74" s="11"/>
      <c r="F74" s="9" t="s">
        <v>1866</v>
      </c>
    </row>
    <row r="75" spans="1:25" x14ac:dyDescent="0.25">
      <c r="B75" s="11" t="s">
        <v>1319</v>
      </c>
      <c r="C75" s="11" t="s">
        <v>1321</v>
      </c>
      <c r="D75" s="11">
        <v>16</v>
      </c>
      <c r="E75" s="11"/>
      <c r="F75" s="9"/>
    </row>
    <row r="76" spans="1:25" x14ac:dyDescent="0.25">
      <c r="B76" s="11" t="s">
        <v>1322</v>
      </c>
      <c r="C76" s="11" t="s">
        <v>1323</v>
      </c>
      <c r="D76" s="11">
        <v>16</v>
      </c>
      <c r="E76" s="11" t="s">
        <v>1324</v>
      </c>
      <c r="F76" s="9" t="s">
        <v>1867</v>
      </c>
    </row>
    <row r="77" spans="1:25" x14ac:dyDescent="0.25">
      <c r="B77" s="11" t="s">
        <v>1322</v>
      </c>
      <c r="C77" s="11" t="s">
        <v>1325</v>
      </c>
      <c r="D77" s="11">
        <v>16</v>
      </c>
      <c r="E77" s="11" t="s">
        <v>1324</v>
      </c>
      <c r="F77" s="9"/>
    </row>
    <row r="78" spans="1:25" x14ac:dyDescent="0.25">
      <c r="B78" s="11"/>
      <c r="C78" s="11"/>
      <c r="D78" s="11"/>
      <c r="E78" s="11"/>
      <c r="F78" s="9"/>
    </row>
    <row r="79" spans="1:25" x14ac:dyDescent="0.25">
      <c r="B79" s="11" t="s">
        <v>1292</v>
      </c>
      <c r="C79" s="11" t="s">
        <v>1326</v>
      </c>
      <c r="D79" s="11"/>
      <c r="E79" s="11"/>
      <c r="F79" s="9" t="s">
        <v>1868</v>
      </c>
    </row>
    <row r="80" spans="1:25" x14ac:dyDescent="0.25">
      <c r="B80" s="11" t="s">
        <v>1292</v>
      </c>
      <c r="C80" s="11" t="s">
        <v>1327</v>
      </c>
      <c r="D80" s="11"/>
      <c r="E80" s="11"/>
      <c r="F80" s="9"/>
    </row>
    <row r="82" spans="1:18" x14ac:dyDescent="0.25">
      <c r="B82" s="4" t="s">
        <v>1907</v>
      </c>
    </row>
    <row r="83" spans="1:18" x14ac:dyDescent="0.25">
      <c r="B83" s="11" t="s">
        <v>68</v>
      </c>
      <c r="C83" s="11" t="s">
        <v>1302</v>
      </c>
      <c r="D83" s="9"/>
      <c r="E83" s="9"/>
      <c r="F83" s="9"/>
      <c r="G83" s="9"/>
    </row>
    <row r="84" spans="1:18" x14ac:dyDescent="0.25">
      <c r="B84" s="11" t="s">
        <v>68</v>
      </c>
      <c r="C84" s="11" t="s">
        <v>1303</v>
      </c>
      <c r="D84" s="9"/>
      <c r="E84" s="9"/>
      <c r="F84" s="9"/>
      <c r="G84" s="9"/>
    </row>
    <row r="85" spans="1:18" x14ac:dyDescent="0.25">
      <c r="B85" s="11" t="s">
        <v>68</v>
      </c>
      <c r="C85" s="49" t="s">
        <v>1328</v>
      </c>
      <c r="D85" s="9"/>
      <c r="E85" s="9"/>
      <c r="F85" s="9"/>
      <c r="G85" s="9"/>
    </row>
    <row r="86" spans="1:18" x14ac:dyDescent="0.25">
      <c r="B86" s="11" t="s">
        <v>68</v>
      </c>
      <c r="C86" s="11" t="s">
        <v>1305</v>
      </c>
      <c r="D86" s="9"/>
      <c r="E86" s="9"/>
      <c r="F86" s="9"/>
      <c r="G86" s="9"/>
    </row>
    <row r="87" spans="1:18" x14ac:dyDescent="0.25">
      <c r="B87" s="11" t="s">
        <v>68</v>
      </c>
      <c r="C87" s="11" t="s">
        <v>1306</v>
      </c>
      <c r="D87" s="9"/>
      <c r="E87" s="9"/>
      <c r="F87" s="9"/>
      <c r="G87" s="9"/>
    </row>
    <row r="88" spans="1:18" x14ac:dyDescent="0.25">
      <c r="B88" s="11" t="s">
        <v>68</v>
      </c>
      <c r="C88" s="11" t="s">
        <v>117</v>
      </c>
      <c r="D88" s="9"/>
      <c r="E88" s="9"/>
      <c r="F88" s="9"/>
      <c r="G88" s="9"/>
    </row>
    <row r="91" spans="1:18" x14ac:dyDescent="0.25">
      <c r="A91" s="3" t="s">
        <v>1908</v>
      </c>
    </row>
    <row r="92" spans="1:18" x14ac:dyDescent="0.25">
      <c r="B92" s="2" t="s">
        <v>1159</v>
      </c>
    </row>
    <row r="93" spans="1:18" x14ac:dyDescent="0.25">
      <c r="B93" s="11" t="s">
        <v>1290</v>
      </c>
      <c r="C93" s="11" t="s">
        <v>1291</v>
      </c>
      <c r="D93" s="11" t="s">
        <v>64</v>
      </c>
      <c r="E93" s="47"/>
      <c r="F93" s="9"/>
      <c r="G93" s="47"/>
      <c r="H93" s="9"/>
      <c r="I93" s="47"/>
      <c r="J93" s="9"/>
      <c r="K93" s="9"/>
      <c r="L93" s="9"/>
      <c r="M93" s="9"/>
      <c r="N93" s="9"/>
      <c r="O93" s="9"/>
      <c r="P93" s="9"/>
      <c r="Q93" s="9"/>
      <c r="R93" s="9"/>
    </row>
    <row r="94" spans="1:18" x14ac:dyDescent="0.25">
      <c r="B94" s="11" t="s">
        <v>1329</v>
      </c>
      <c r="C94" s="49" t="s">
        <v>1330</v>
      </c>
      <c r="D94" s="11" t="s">
        <v>52</v>
      </c>
      <c r="E94" s="9"/>
      <c r="F94" s="9"/>
      <c r="G94" s="9"/>
      <c r="H94" s="9"/>
      <c r="I94" s="9"/>
      <c r="J94" s="9"/>
      <c r="K94" s="9"/>
      <c r="L94" s="9"/>
      <c r="M94" s="9"/>
      <c r="N94" s="9"/>
      <c r="O94" s="9"/>
      <c r="P94" s="9"/>
      <c r="Q94" s="9"/>
      <c r="R94" s="9"/>
    </row>
    <row r="95" spans="1:18" x14ac:dyDescent="0.25">
      <c r="B95" s="11" t="s">
        <v>1329</v>
      </c>
      <c r="C95" s="49" t="s">
        <v>1331</v>
      </c>
      <c r="D95" s="11" t="s">
        <v>52</v>
      </c>
      <c r="E95" s="9"/>
      <c r="F95" s="9"/>
      <c r="G95" s="9"/>
      <c r="H95" s="9"/>
      <c r="I95" s="9"/>
      <c r="J95" s="9"/>
      <c r="K95" s="9"/>
      <c r="L95" s="9"/>
      <c r="M95" s="9"/>
      <c r="N95" s="9"/>
      <c r="O95" s="9"/>
      <c r="P95" s="9"/>
      <c r="Q95" s="9"/>
      <c r="R95" s="9"/>
    </row>
    <row r="96" spans="1:18" x14ac:dyDescent="0.25">
      <c r="B96" s="11" t="s">
        <v>1329</v>
      </c>
      <c r="C96" s="49" t="s">
        <v>1332</v>
      </c>
      <c r="D96" s="11" t="s">
        <v>52</v>
      </c>
      <c r="E96" s="9"/>
      <c r="F96" s="9"/>
      <c r="G96" s="9"/>
      <c r="H96" s="9"/>
      <c r="I96" s="9"/>
      <c r="J96" s="9"/>
      <c r="K96" s="9"/>
      <c r="L96" s="9"/>
      <c r="M96" s="9"/>
      <c r="N96" s="9"/>
      <c r="O96" s="9"/>
      <c r="P96" s="9"/>
      <c r="Q96" s="9"/>
      <c r="R96" s="9"/>
    </row>
    <row r="97" spans="1:23" x14ac:dyDescent="0.25">
      <c r="B97" s="11" t="s">
        <v>1292</v>
      </c>
      <c r="C97" s="11" t="s">
        <v>1308</v>
      </c>
      <c r="D97" s="11"/>
      <c r="E97" s="9"/>
      <c r="F97" s="9"/>
      <c r="G97" s="9"/>
      <c r="H97" s="9"/>
      <c r="I97" s="9"/>
      <c r="J97" s="9"/>
      <c r="K97" s="9"/>
      <c r="L97" s="9"/>
      <c r="M97" s="9"/>
      <c r="N97" s="9"/>
      <c r="O97" s="9"/>
      <c r="P97" s="9"/>
      <c r="Q97" s="9"/>
      <c r="R97" s="9"/>
    </row>
    <row r="98" spans="1:23" x14ac:dyDescent="0.25">
      <c r="B98" s="2"/>
      <c r="C98" s="2"/>
      <c r="D98" s="9"/>
      <c r="E98" s="9"/>
      <c r="F98" s="9"/>
      <c r="G98" s="9"/>
      <c r="H98" s="9"/>
      <c r="I98" s="9"/>
      <c r="J98" s="9"/>
      <c r="K98" s="9"/>
      <c r="L98" s="9"/>
      <c r="M98" s="9"/>
      <c r="N98" s="9"/>
      <c r="O98" s="9"/>
      <c r="P98" s="9"/>
      <c r="Q98" s="9"/>
      <c r="R98" s="9"/>
    </row>
    <row r="99" spans="1:23" x14ac:dyDescent="0.25">
      <c r="B99" s="4" t="s">
        <v>1907</v>
      </c>
    </row>
    <row r="100" spans="1:23" x14ac:dyDescent="0.25">
      <c r="B100" s="11" t="s">
        <v>68</v>
      </c>
      <c r="C100" s="11" t="s">
        <v>1302</v>
      </c>
    </row>
    <row r="101" spans="1:23" x14ac:dyDescent="0.25">
      <c r="B101" s="11" t="s">
        <v>68</v>
      </c>
      <c r="C101" s="11" t="s">
        <v>1303</v>
      </c>
    </row>
    <row r="102" spans="1:23" x14ac:dyDescent="0.25">
      <c r="B102" s="11" t="s">
        <v>68</v>
      </c>
      <c r="C102" s="49" t="s">
        <v>1333</v>
      </c>
    </row>
    <row r="103" spans="1:23" x14ac:dyDescent="0.25">
      <c r="B103" s="11" t="s">
        <v>68</v>
      </c>
      <c r="C103" s="11" t="s">
        <v>1305</v>
      </c>
    </row>
    <row r="104" spans="1:23" x14ac:dyDescent="0.25">
      <c r="B104" s="11" t="s">
        <v>68</v>
      </c>
      <c r="C104" s="11" t="s">
        <v>1306</v>
      </c>
    </row>
    <row r="105" spans="1:23" x14ac:dyDescent="0.25">
      <c r="B105" s="11" t="s">
        <v>68</v>
      </c>
      <c r="C105" s="11" t="s">
        <v>117</v>
      </c>
    </row>
    <row r="108" spans="1:23" x14ac:dyDescent="0.25">
      <c r="A108" s="3" t="s">
        <v>1909</v>
      </c>
    </row>
    <row r="109" spans="1:23" x14ac:dyDescent="0.25">
      <c r="B109" s="4" t="s">
        <v>1910</v>
      </c>
    </row>
    <row r="110" spans="1:23" ht="16.5" thickBot="1" x14ac:dyDescent="0.3">
      <c r="B110" s="2" t="s">
        <v>1159</v>
      </c>
      <c r="H110" s="2" t="s">
        <v>1749</v>
      </c>
    </row>
    <row r="111" spans="1:23" ht="16.5" thickBot="1" x14ac:dyDescent="0.3">
      <c r="B111" s="11" t="s">
        <v>50</v>
      </c>
      <c r="C111" s="11" t="s">
        <v>1252</v>
      </c>
      <c r="D111" s="11" t="s">
        <v>1288</v>
      </c>
      <c r="E111" s="11"/>
      <c r="H111" s="9" t="s">
        <v>64</v>
      </c>
      <c r="I111" s="80" t="s">
        <v>39</v>
      </c>
      <c r="J111" s="60" t="s">
        <v>122</v>
      </c>
      <c r="K111" s="80" t="s">
        <v>39</v>
      </c>
      <c r="L111" s="60" t="s">
        <v>122</v>
      </c>
      <c r="M111" s="80" t="s">
        <v>39</v>
      </c>
      <c r="N111" s="60" t="s">
        <v>122</v>
      </c>
      <c r="O111" s="80" t="s">
        <v>39</v>
      </c>
      <c r="P111" s="60" t="s">
        <v>122</v>
      </c>
      <c r="Q111" s="80" t="s">
        <v>39</v>
      </c>
      <c r="R111" s="60" t="s">
        <v>122</v>
      </c>
      <c r="S111" s="80" t="s">
        <v>39</v>
      </c>
      <c r="T111" s="60" t="s">
        <v>122</v>
      </c>
      <c r="U111" s="9"/>
      <c r="V111" s="80" t="s">
        <v>39</v>
      </c>
      <c r="W111" s="60" t="s">
        <v>122</v>
      </c>
    </row>
    <row r="112" spans="1:23" ht="16.5" thickBot="1" x14ac:dyDescent="0.3">
      <c r="B112" s="11" t="s">
        <v>50</v>
      </c>
      <c r="C112" s="11" t="s">
        <v>1289</v>
      </c>
      <c r="D112" s="11">
        <v>8</v>
      </c>
      <c r="E112" s="11" t="s">
        <v>64</v>
      </c>
      <c r="H112" s="9"/>
      <c r="I112" s="9"/>
      <c r="J112" s="9"/>
      <c r="K112" s="9"/>
      <c r="L112" s="9"/>
      <c r="M112" s="9"/>
      <c r="N112" s="9"/>
      <c r="O112" s="9"/>
      <c r="P112" s="9"/>
      <c r="Q112" s="9"/>
      <c r="R112" s="9"/>
      <c r="S112" s="9"/>
      <c r="T112" s="9"/>
      <c r="U112" s="9"/>
      <c r="V112" s="9"/>
      <c r="W112" s="9"/>
    </row>
    <row r="113" spans="1:24" ht="16.5" thickBot="1" x14ac:dyDescent="0.3">
      <c r="B113" s="11" t="s">
        <v>50</v>
      </c>
      <c r="C113" s="11" t="s">
        <v>1334</v>
      </c>
      <c r="D113" s="11" t="s">
        <v>39</v>
      </c>
      <c r="E113" s="11" t="s">
        <v>64</v>
      </c>
      <c r="H113" s="9" t="s">
        <v>1294</v>
      </c>
      <c r="I113" s="81">
        <v>0</v>
      </c>
      <c r="J113" s="82"/>
      <c r="K113" s="81">
        <v>1</v>
      </c>
      <c r="L113" s="82"/>
      <c r="M113" s="81">
        <v>2</v>
      </c>
      <c r="N113" s="82"/>
      <c r="O113" s="81">
        <v>3</v>
      </c>
      <c r="P113" s="82"/>
      <c r="Q113" s="81">
        <v>4</v>
      </c>
      <c r="R113" s="82"/>
      <c r="S113" s="81">
        <v>5</v>
      </c>
      <c r="T113" s="82"/>
      <c r="U113" s="9" t="s">
        <v>1865</v>
      </c>
      <c r="V113" s="81">
        <v>511</v>
      </c>
      <c r="W113" s="82"/>
    </row>
    <row r="114" spans="1:24" ht="16.5" thickBot="1" x14ac:dyDescent="0.3">
      <c r="B114" s="11"/>
      <c r="C114" s="11"/>
      <c r="D114" s="11"/>
      <c r="E114" s="11"/>
      <c r="H114" s="9"/>
      <c r="I114" s="9"/>
      <c r="J114" s="9"/>
      <c r="K114" s="9"/>
      <c r="L114" s="9"/>
      <c r="M114" s="9"/>
      <c r="N114" s="9"/>
      <c r="O114" s="9"/>
      <c r="P114" s="9"/>
      <c r="Q114" s="9"/>
      <c r="R114" s="9"/>
      <c r="S114" s="9"/>
      <c r="T114" s="9"/>
      <c r="U114" s="9"/>
      <c r="V114" s="9"/>
      <c r="W114" s="9"/>
    </row>
    <row r="115" spans="1:24" ht="16.5" thickBot="1" x14ac:dyDescent="0.3">
      <c r="B115" s="11" t="s">
        <v>1290</v>
      </c>
      <c r="C115" s="11" t="s">
        <v>1291</v>
      </c>
      <c r="D115" s="11" t="s">
        <v>64</v>
      </c>
      <c r="E115" s="11" t="s">
        <v>1863</v>
      </c>
      <c r="H115" s="9" t="s">
        <v>1289</v>
      </c>
      <c r="I115" s="81" t="s">
        <v>1295</v>
      </c>
      <c r="J115" s="82"/>
      <c r="K115" s="81" t="s">
        <v>1296</v>
      </c>
      <c r="L115" s="82"/>
      <c r="M115" s="81" t="s">
        <v>1297</v>
      </c>
      <c r="N115" s="82"/>
      <c r="O115" s="81" t="s">
        <v>1298</v>
      </c>
      <c r="P115" s="82"/>
      <c r="Q115" s="81" t="s">
        <v>1299</v>
      </c>
      <c r="R115" s="82"/>
      <c r="S115" s="81" t="s">
        <v>1300</v>
      </c>
      <c r="T115" s="82"/>
      <c r="U115" s="9"/>
      <c r="V115" s="81" t="s">
        <v>1301</v>
      </c>
      <c r="W115" s="82"/>
    </row>
    <row r="116" spans="1:24" ht="16.5" thickBot="1" x14ac:dyDescent="0.3">
      <c r="B116" s="11" t="s">
        <v>1292</v>
      </c>
      <c r="C116" s="11" t="s">
        <v>1293</v>
      </c>
      <c r="D116" s="11"/>
      <c r="E116" s="11"/>
      <c r="H116" s="9"/>
      <c r="I116" s="9"/>
      <c r="J116" s="9"/>
      <c r="K116" s="9"/>
      <c r="L116" s="9"/>
      <c r="M116" s="9"/>
      <c r="N116" s="9"/>
      <c r="O116" s="9"/>
      <c r="P116" s="9"/>
      <c r="Q116" s="9"/>
      <c r="R116" s="9"/>
      <c r="S116" s="9"/>
      <c r="T116" s="9"/>
      <c r="U116" s="9"/>
      <c r="V116" s="9"/>
      <c r="W116" s="9"/>
    </row>
    <row r="117" spans="1:24" x14ac:dyDescent="0.25">
      <c r="B117" s="11"/>
      <c r="C117" s="11"/>
      <c r="D117" s="11"/>
      <c r="E117" s="11"/>
      <c r="H117" s="9" t="s">
        <v>1334</v>
      </c>
      <c r="I117" s="84"/>
      <c r="J117" s="85"/>
      <c r="K117" s="85"/>
      <c r="L117" s="85"/>
      <c r="M117" s="85"/>
      <c r="N117" s="85"/>
      <c r="O117" s="85"/>
      <c r="P117" s="85"/>
      <c r="Q117" s="85"/>
      <c r="R117" s="85"/>
      <c r="S117" s="85"/>
      <c r="T117" s="85"/>
      <c r="U117" s="9"/>
      <c r="V117" s="85"/>
      <c r="W117" s="86"/>
    </row>
    <row r="118" spans="1:24" x14ac:dyDescent="0.25">
      <c r="B118" s="11" t="s">
        <v>1292</v>
      </c>
      <c r="C118" s="11" t="s">
        <v>1335</v>
      </c>
      <c r="D118" s="11"/>
      <c r="E118" s="11"/>
    </row>
    <row r="119" spans="1:24" x14ac:dyDescent="0.25">
      <c r="B119" s="49" t="s">
        <v>1336</v>
      </c>
      <c r="C119" s="49" t="s">
        <v>1334</v>
      </c>
      <c r="D119" s="49" t="s">
        <v>1274</v>
      </c>
      <c r="E119" s="49" t="s">
        <v>1337</v>
      </c>
    </row>
    <row r="120" spans="1:24" x14ac:dyDescent="0.25">
      <c r="B120" s="11" t="s">
        <v>1292</v>
      </c>
      <c r="C120" s="11" t="s">
        <v>117</v>
      </c>
      <c r="D120" s="11"/>
      <c r="E120" s="11"/>
    </row>
    <row r="123" spans="1:24" x14ac:dyDescent="0.25">
      <c r="A123" s="3" t="s">
        <v>1913</v>
      </c>
    </row>
    <row r="124" spans="1:24" ht="16.5" thickBot="1" x14ac:dyDescent="0.3">
      <c r="B124" s="2" t="s">
        <v>1159</v>
      </c>
      <c r="H124" s="2" t="s">
        <v>1749</v>
      </c>
    </row>
    <row r="125" spans="1:24" ht="16.5" thickBot="1" x14ac:dyDescent="0.3">
      <c r="B125" s="11" t="s">
        <v>1290</v>
      </c>
      <c r="C125" s="11" t="s">
        <v>1291</v>
      </c>
      <c r="D125" s="11" t="s">
        <v>64</v>
      </c>
      <c r="E125" s="11" t="s">
        <v>1863</v>
      </c>
      <c r="H125" s="9" t="s">
        <v>64</v>
      </c>
      <c r="I125" s="80" t="s">
        <v>1116</v>
      </c>
      <c r="J125" s="60" t="s">
        <v>1864</v>
      </c>
      <c r="K125" s="80" t="s">
        <v>1116</v>
      </c>
      <c r="L125" s="60" t="s">
        <v>1864</v>
      </c>
      <c r="M125" s="80" t="s">
        <v>1116</v>
      </c>
      <c r="N125" s="60" t="s">
        <v>1864</v>
      </c>
      <c r="O125" s="80" t="s">
        <v>1116</v>
      </c>
      <c r="P125" s="60" t="s">
        <v>1864</v>
      </c>
      <c r="Q125" s="80" t="s">
        <v>1116</v>
      </c>
      <c r="R125" s="60" t="s">
        <v>1864</v>
      </c>
      <c r="S125" s="80" t="s">
        <v>1116</v>
      </c>
      <c r="T125" s="60" t="s">
        <v>1864</v>
      </c>
      <c r="U125" s="80" t="s">
        <v>1116</v>
      </c>
      <c r="V125" s="60" t="s">
        <v>1864</v>
      </c>
      <c r="W125" s="80" t="s">
        <v>1116</v>
      </c>
      <c r="X125" s="60" t="s">
        <v>1864</v>
      </c>
    </row>
    <row r="126" spans="1:24" ht="16.5" thickBot="1" x14ac:dyDescent="0.3">
      <c r="B126" s="11" t="s">
        <v>1292</v>
      </c>
      <c r="C126" s="11" t="s">
        <v>1293</v>
      </c>
      <c r="D126" s="11"/>
      <c r="E126" s="11"/>
      <c r="H126" s="9"/>
      <c r="I126" s="9"/>
      <c r="J126" s="9"/>
      <c r="K126" s="9"/>
      <c r="L126" s="9"/>
      <c r="M126" s="9"/>
      <c r="N126" s="9"/>
      <c r="O126" s="9"/>
      <c r="P126" s="9"/>
      <c r="Q126" s="9"/>
      <c r="R126" s="9"/>
      <c r="S126" s="9"/>
      <c r="T126" s="9"/>
      <c r="U126" s="9"/>
      <c r="V126" s="9"/>
      <c r="W126" s="9"/>
      <c r="X126" s="9"/>
    </row>
    <row r="127" spans="1:24" ht="16.5" thickBot="1" x14ac:dyDescent="0.3">
      <c r="B127" s="11"/>
      <c r="C127" s="11"/>
      <c r="D127" s="11"/>
      <c r="E127" s="11"/>
      <c r="H127" s="9" t="s">
        <v>1294</v>
      </c>
      <c r="I127" s="81">
        <v>0</v>
      </c>
      <c r="J127" s="82"/>
      <c r="K127" s="81">
        <v>1</v>
      </c>
      <c r="L127" s="82"/>
      <c r="M127" s="81">
        <v>2</v>
      </c>
      <c r="N127" s="82"/>
      <c r="O127" s="81">
        <v>3</v>
      </c>
      <c r="P127" s="82"/>
      <c r="Q127" s="81">
        <v>4</v>
      </c>
      <c r="R127" s="82"/>
      <c r="S127" s="81">
        <v>5</v>
      </c>
      <c r="T127" s="82"/>
      <c r="U127" s="81">
        <v>6</v>
      </c>
      <c r="V127" s="82"/>
      <c r="W127" s="81">
        <v>7</v>
      </c>
      <c r="X127" s="82"/>
    </row>
    <row r="128" spans="1:24" ht="16.5" thickBot="1" x14ac:dyDescent="0.3">
      <c r="B128" s="11" t="s">
        <v>1292</v>
      </c>
      <c r="C128" s="11" t="s">
        <v>1335</v>
      </c>
      <c r="D128" s="11"/>
      <c r="E128" s="11"/>
      <c r="H128" s="9"/>
      <c r="I128" s="9"/>
      <c r="J128" s="9"/>
      <c r="K128" s="9"/>
      <c r="L128" s="9"/>
      <c r="M128" s="9"/>
      <c r="N128" s="9"/>
      <c r="O128" s="9"/>
      <c r="P128" s="9"/>
      <c r="Q128" s="9"/>
      <c r="R128" s="9"/>
      <c r="S128" s="9"/>
      <c r="T128" s="9"/>
      <c r="U128" s="9"/>
      <c r="V128" s="9"/>
      <c r="W128" s="9"/>
      <c r="X128" s="9"/>
    </row>
    <row r="129" spans="1:24" ht="16.5" thickBot="1" x14ac:dyDescent="0.3">
      <c r="B129" s="11" t="s">
        <v>1336</v>
      </c>
      <c r="C129" s="11" t="s">
        <v>1334</v>
      </c>
      <c r="D129" s="11" t="s">
        <v>1274</v>
      </c>
      <c r="E129" s="11" t="s">
        <v>1338</v>
      </c>
      <c r="H129" s="9" t="s">
        <v>1289</v>
      </c>
      <c r="I129" s="81" t="s">
        <v>1295</v>
      </c>
      <c r="J129" s="82"/>
      <c r="K129" s="81" t="s">
        <v>1296</v>
      </c>
      <c r="L129" s="82"/>
      <c r="M129" s="81" t="s">
        <v>1297</v>
      </c>
      <c r="N129" s="82"/>
      <c r="O129" s="81" t="s">
        <v>1298</v>
      </c>
      <c r="P129" s="82"/>
      <c r="Q129" s="81" t="s">
        <v>1299</v>
      </c>
      <c r="R129" s="82"/>
      <c r="S129" s="81" t="s">
        <v>1300</v>
      </c>
      <c r="T129" s="82"/>
      <c r="U129" s="81" t="s">
        <v>1342</v>
      </c>
      <c r="V129" s="82"/>
      <c r="W129" s="81" t="s">
        <v>1343</v>
      </c>
      <c r="X129" s="82"/>
    </row>
    <row r="130" spans="1:24" ht="16.5" thickBot="1" x14ac:dyDescent="0.3">
      <c r="B130" s="49" t="s">
        <v>1339</v>
      </c>
      <c r="C130" s="49" t="s">
        <v>1340</v>
      </c>
      <c r="D130" s="11"/>
      <c r="E130" s="11"/>
      <c r="H130" s="9"/>
      <c r="I130" s="9"/>
      <c r="J130" s="9"/>
      <c r="K130" s="9"/>
      <c r="L130" s="9"/>
      <c r="M130" s="9"/>
      <c r="N130" s="9"/>
      <c r="O130" s="9"/>
      <c r="P130" s="9"/>
      <c r="Q130" s="9"/>
      <c r="R130" s="9"/>
      <c r="S130" s="9"/>
      <c r="T130" s="9"/>
      <c r="U130" s="9"/>
      <c r="V130" s="9"/>
      <c r="W130" s="9"/>
      <c r="X130" s="9"/>
    </row>
    <row r="131" spans="1:24" ht="16.5" thickBot="1" x14ac:dyDescent="0.3">
      <c r="B131" s="11" t="s">
        <v>1336</v>
      </c>
      <c r="C131" s="11" t="s">
        <v>1334</v>
      </c>
      <c r="D131" s="11" t="s">
        <v>1274</v>
      </c>
      <c r="E131" s="11" t="s">
        <v>1338</v>
      </c>
      <c r="H131" s="9" t="s">
        <v>1334</v>
      </c>
      <c r="I131" s="84"/>
      <c r="J131" s="85"/>
      <c r="K131" s="60"/>
      <c r="L131" s="58"/>
      <c r="M131" s="58"/>
      <c r="N131" s="59"/>
      <c r="O131" s="84"/>
      <c r="P131" s="85"/>
      <c r="Q131" s="60"/>
      <c r="R131" s="58"/>
      <c r="S131" s="58"/>
      <c r="T131" s="59"/>
      <c r="U131" s="84"/>
      <c r="V131" s="85"/>
      <c r="W131" s="60"/>
      <c r="X131" s="58"/>
    </row>
    <row r="132" spans="1:24" x14ac:dyDescent="0.25">
      <c r="B132" s="49" t="s">
        <v>1339</v>
      </c>
      <c r="C132" s="49" t="s">
        <v>1341</v>
      </c>
      <c r="D132" s="11"/>
      <c r="E132" s="11"/>
      <c r="H132" s="9"/>
      <c r="I132" s="9"/>
      <c r="J132" s="9"/>
      <c r="K132" s="9"/>
      <c r="L132" s="9"/>
      <c r="M132" s="9"/>
      <c r="N132" s="9"/>
      <c r="O132" s="9"/>
      <c r="P132" s="9"/>
      <c r="Q132" s="9"/>
      <c r="R132" s="9"/>
      <c r="S132" s="9"/>
      <c r="T132" s="9"/>
      <c r="U132" s="9"/>
      <c r="V132" s="9"/>
      <c r="W132" s="9"/>
      <c r="X132" s="9"/>
    </row>
    <row r="133" spans="1:24" x14ac:dyDescent="0.25">
      <c r="B133" s="11" t="s">
        <v>1336</v>
      </c>
      <c r="C133" s="11" t="s">
        <v>1334</v>
      </c>
      <c r="D133" s="11" t="s">
        <v>1274</v>
      </c>
      <c r="E133" s="11" t="s">
        <v>1338</v>
      </c>
      <c r="H133" s="9" t="s">
        <v>1344</v>
      </c>
      <c r="I133" s="9" t="s">
        <v>1869</v>
      </c>
      <c r="J133" s="9"/>
      <c r="K133" s="9"/>
      <c r="L133" s="9"/>
      <c r="M133" s="9"/>
      <c r="N133" s="9"/>
      <c r="O133" s="9" t="s">
        <v>1869</v>
      </c>
      <c r="P133" s="9"/>
      <c r="Q133" s="9"/>
      <c r="R133" s="9"/>
      <c r="S133" s="9"/>
      <c r="T133" s="9"/>
      <c r="U133" s="9" t="s">
        <v>1869</v>
      </c>
      <c r="V133" s="9"/>
      <c r="W133" s="9"/>
      <c r="X133" s="9"/>
    </row>
    <row r="134" spans="1:24" x14ac:dyDescent="0.25">
      <c r="B134" s="11" t="s">
        <v>1292</v>
      </c>
      <c r="C134" s="11" t="s">
        <v>117</v>
      </c>
      <c r="D134" s="11"/>
      <c r="E134" s="11"/>
    </row>
    <row r="135" spans="1:24" x14ac:dyDescent="0.25">
      <c r="B135" s="4" t="s">
        <v>1911</v>
      </c>
    </row>
    <row r="138" spans="1:24" x14ac:dyDescent="0.25">
      <c r="A138" s="3" t="s">
        <v>1912</v>
      </c>
    </row>
    <row r="139" spans="1:24" x14ac:dyDescent="0.25">
      <c r="B139" s="2" t="s">
        <v>1159</v>
      </c>
      <c r="H139" s="2" t="s">
        <v>1749</v>
      </c>
    </row>
    <row r="140" spans="1:24" x14ac:dyDescent="0.25">
      <c r="B140" s="11" t="s">
        <v>1290</v>
      </c>
      <c r="C140" s="11" t="s">
        <v>1291</v>
      </c>
      <c r="D140" s="11" t="s">
        <v>64</v>
      </c>
      <c r="E140" s="11" t="s">
        <v>1863</v>
      </c>
      <c r="H140" s="2" t="s">
        <v>1914</v>
      </c>
    </row>
    <row r="141" spans="1:24" x14ac:dyDescent="0.25">
      <c r="B141" s="11" t="s">
        <v>1292</v>
      </c>
      <c r="C141" s="11" t="s">
        <v>1293</v>
      </c>
      <c r="D141" s="11"/>
      <c r="E141" s="11"/>
    </row>
    <row r="142" spans="1:24" x14ac:dyDescent="0.25">
      <c r="B142" s="11"/>
      <c r="C142" s="11"/>
      <c r="D142" s="11"/>
      <c r="E142" s="11"/>
    </row>
    <row r="143" spans="1:24" x14ac:dyDescent="0.25">
      <c r="B143" s="11" t="s">
        <v>1292</v>
      </c>
      <c r="C143" s="11" t="s">
        <v>1335</v>
      </c>
      <c r="D143" s="11"/>
      <c r="E143" s="11"/>
    </row>
    <row r="144" spans="1:24" x14ac:dyDescent="0.25">
      <c r="B144" s="11" t="s">
        <v>1336</v>
      </c>
      <c r="C144" s="11" t="s">
        <v>1334</v>
      </c>
      <c r="D144" s="11" t="s">
        <v>1274</v>
      </c>
      <c r="E144" s="11" t="s">
        <v>1338</v>
      </c>
    </row>
    <row r="145" spans="1:5" x14ac:dyDescent="0.25">
      <c r="B145" s="49" t="s">
        <v>1345</v>
      </c>
      <c r="C145" s="49" t="s">
        <v>1340</v>
      </c>
      <c r="D145" s="11"/>
      <c r="E145" s="11"/>
    </row>
    <row r="146" spans="1:5" x14ac:dyDescent="0.25">
      <c r="B146" s="11" t="s">
        <v>1336</v>
      </c>
      <c r="C146" s="11" t="s">
        <v>1334</v>
      </c>
      <c r="D146" s="11" t="s">
        <v>1274</v>
      </c>
      <c r="E146" s="11" t="s">
        <v>1338</v>
      </c>
    </row>
    <row r="147" spans="1:5" x14ac:dyDescent="0.25">
      <c r="B147" s="49" t="s">
        <v>1345</v>
      </c>
      <c r="C147" s="49" t="s">
        <v>1340</v>
      </c>
      <c r="D147" s="11"/>
      <c r="E147" s="11"/>
    </row>
    <row r="148" spans="1:5" x14ac:dyDescent="0.25">
      <c r="B148" s="11" t="s">
        <v>1336</v>
      </c>
      <c r="C148" s="11" t="s">
        <v>1334</v>
      </c>
      <c r="D148" s="11" t="s">
        <v>1274</v>
      </c>
      <c r="E148" s="11" t="s">
        <v>1338</v>
      </c>
    </row>
    <row r="149" spans="1:5" x14ac:dyDescent="0.25">
      <c r="B149" s="11" t="s">
        <v>1292</v>
      </c>
      <c r="C149" s="11" t="s">
        <v>117</v>
      </c>
      <c r="D149" s="11"/>
      <c r="E149" s="11"/>
    </row>
    <row r="152" spans="1:5" x14ac:dyDescent="0.25">
      <c r="A152" s="3" t="s">
        <v>1915</v>
      </c>
    </row>
    <row r="153" spans="1:5" x14ac:dyDescent="0.25">
      <c r="B153" s="6" t="s">
        <v>1518</v>
      </c>
      <c r="C153" s="74" t="s">
        <v>1519</v>
      </c>
      <c r="D153" s="38"/>
      <c r="E153" s="39"/>
    </row>
    <row r="154" spans="1:5" x14ac:dyDescent="0.25">
      <c r="B154" s="6" t="s">
        <v>1916</v>
      </c>
      <c r="C154" s="74" t="s">
        <v>1917</v>
      </c>
      <c r="D154" s="38"/>
      <c r="E154" s="39"/>
    </row>
    <row r="155" spans="1:5" x14ac:dyDescent="0.25">
      <c r="B155" s="6" t="s">
        <v>1918</v>
      </c>
      <c r="C155" s="74" t="s">
        <v>1919</v>
      </c>
      <c r="D155" s="38"/>
      <c r="E155" s="39"/>
    </row>
    <row r="156" spans="1:5" x14ac:dyDescent="0.25">
      <c r="B156" s="6" t="s">
        <v>1920</v>
      </c>
      <c r="C156" s="74" t="s">
        <v>1921</v>
      </c>
      <c r="D156" s="38"/>
      <c r="E156" s="39"/>
    </row>
    <row r="157" spans="1:5" x14ac:dyDescent="0.25">
      <c r="B157" s="6" t="s">
        <v>1922</v>
      </c>
      <c r="C157" s="74" t="s">
        <v>1923</v>
      </c>
      <c r="D157" s="38"/>
      <c r="E157" s="39"/>
    </row>
    <row r="158" spans="1:5" x14ac:dyDescent="0.25">
      <c r="B158" s="6" t="s">
        <v>1878</v>
      </c>
      <c r="C158" s="74" t="s">
        <v>1924</v>
      </c>
      <c r="D158" s="38"/>
      <c r="E158" s="39"/>
    </row>
    <row r="159" spans="1:5" x14ac:dyDescent="0.25">
      <c r="B159" s="6" t="s">
        <v>1925</v>
      </c>
      <c r="C159" s="74" t="s">
        <v>1926</v>
      </c>
      <c r="D159" s="38"/>
      <c r="E159" s="39"/>
    </row>
    <row r="160" spans="1:5" x14ac:dyDescent="0.25">
      <c r="B160" s="6" t="s">
        <v>321</v>
      </c>
      <c r="C160" s="74" t="s">
        <v>1730</v>
      </c>
      <c r="D160" s="38"/>
      <c r="E160" s="39"/>
    </row>
    <row r="161" spans="2:5" x14ac:dyDescent="0.25">
      <c r="B161" s="6" t="s">
        <v>467</v>
      </c>
      <c r="C161" s="74" t="s">
        <v>1729</v>
      </c>
      <c r="D161" s="38"/>
      <c r="E161" s="39"/>
    </row>
    <row r="162" spans="2:5" x14ac:dyDescent="0.25">
      <c r="B162" s="6" t="s">
        <v>459</v>
      </c>
      <c r="C162" s="74" t="s">
        <v>1927</v>
      </c>
      <c r="D162" s="38"/>
      <c r="E162" s="39"/>
    </row>
  </sheetData>
  <mergeCells count="71">
    <mergeCell ref="U129:V129"/>
    <mergeCell ref="W129:X129"/>
    <mergeCell ref="I129:J129"/>
    <mergeCell ref="K129:L129"/>
    <mergeCell ref="M129:N129"/>
    <mergeCell ref="O129:P129"/>
    <mergeCell ref="Q129:R129"/>
    <mergeCell ref="S129:T129"/>
    <mergeCell ref="V115:W115"/>
    <mergeCell ref="I127:J127"/>
    <mergeCell ref="K127:L127"/>
    <mergeCell ref="M127:N127"/>
    <mergeCell ref="O127:P127"/>
    <mergeCell ref="Q127:R127"/>
    <mergeCell ref="S127:T127"/>
    <mergeCell ref="U127:V127"/>
    <mergeCell ref="W127:X127"/>
    <mergeCell ref="I115:J115"/>
    <mergeCell ref="K115:L115"/>
    <mergeCell ref="M115:N115"/>
    <mergeCell ref="O115:P115"/>
    <mergeCell ref="Q115:R115"/>
    <mergeCell ref="S115:T115"/>
    <mergeCell ref="S68:T68"/>
    <mergeCell ref="V68:W68"/>
    <mergeCell ref="X68:Y68"/>
    <mergeCell ref="I113:J113"/>
    <mergeCell ref="K113:L113"/>
    <mergeCell ref="M113:N113"/>
    <mergeCell ref="O113:P113"/>
    <mergeCell ref="Q113:R113"/>
    <mergeCell ref="S113:T113"/>
    <mergeCell ref="V113:W113"/>
    <mergeCell ref="V64:W64"/>
    <mergeCell ref="X64:Y64"/>
    <mergeCell ref="I66:P66"/>
    <mergeCell ref="Q66:T66"/>
    <mergeCell ref="V66:Y66"/>
    <mergeCell ref="I68:J68"/>
    <mergeCell ref="K68:L68"/>
    <mergeCell ref="M68:N68"/>
    <mergeCell ref="O68:P68"/>
    <mergeCell ref="Q68:R68"/>
    <mergeCell ref="I64:J64"/>
    <mergeCell ref="K64:L64"/>
    <mergeCell ref="M64:N64"/>
    <mergeCell ref="O64:P64"/>
    <mergeCell ref="Q64:R64"/>
    <mergeCell ref="S64:T64"/>
    <mergeCell ref="I55:L55"/>
    <mergeCell ref="M55:P55"/>
    <mergeCell ref="Q55:T55"/>
    <mergeCell ref="V55:W55"/>
    <mergeCell ref="I57:L57"/>
    <mergeCell ref="M57:P57"/>
    <mergeCell ref="Q57:T57"/>
    <mergeCell ref="V57:W57"/>
    <mergeCell ref="V34:W34"/>
    <mergeCell ref="I36:J36"/>
    <mergeCell ref="K36:L36"/>
    <mergeCell ref="M36:N36"/>
    <mergeCell ref="O36:P36"/>
    <mergeCell ref="Q36:R36"/>
    <mergeCell ref="S36:T36"/>
    <mergeCell ref="V36:W36"/>
    <mergeCell ref="I34:J34"/>
    <mergeCell ref="K34:L34"/>
    <mergeCell ref="M34:N34"/>
    <mergeCell ref="O34:P34"/>
    <mergeCell ref="Q34:R34"/>
    <mergeCell ref="S34:T34"/>
  </mergeCells>
  <phoneticPr fontId="1"/>
  <pageMargins left="0.75" right="0.35" top="1" bottom="1" header="0.51200000000000001" footer="0.51200000000000001"/>
  <pageSetup paperSize="9" scale="80"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1AE8-8722-4262-B53D-94947DB3D7D2}">
  <dimension ref="A1:K128"/>
  <sheetViews>
    <sheetView topLeftCell="A105" zoomScaleNormal="100" workbookViewId="0">
      <selection activeCell="F133" sqref="F133"/>
    </sheetView>
  </sheetViews>
  <sheetFormatPr defaultRowHeight="15.75" x14ac:dyDescent="0.25"/>
  <cols>
    <col min="1" max="1" width="3.25" style="3" customWidth="1"/>
    <col min="2" max="2" width="25.625" style="4" customWidth="1"/>
    <col min="3" max="3" width="12.25" style="4" customWidth="1"/>
    <col min="4" max="4" width="38.25" style="4" customWidth="1"/>
    <col min="5" max="5" width="25.625" style="4" customWidth="1"/>
    <col min="6" max="6" width="9" style="4"/>
    <col min="7" max="16384" width="9" style="2"/>
  </cols>
  <sheetData>
    <row r="1" spans="1:6" s="3" customFormat="1" ht="19.5" x14ac:dyDescent="0.3">
      <c r="A1" s="1" t="s">
        <v>1936</v>
      </c>
      <c r="B1" s="4"/>
      <c r="C1" s="4"/>
      <c r="D1" s="4"/>
      <c r="E1" s="4"/>
      <c r="F1" s="5"/>
    </row>
    <row r="3" spans="1:6" x14ac:dyDescent="0.25">
      <c r="A3" s="3" t="s">
        <v>1937</v>
      </c>
    </row>
    <row r="4" spans="1:6" x14ac:dyDescent="0.25">
      <c r="B4" s="4" t="s">
        <v>1938</v>
      </c>
    </row>
    <row r="5" spans="1:6" x14ac:dyDescent="0.25">
      <c r="B5" s="4" t="s">
        <v>1939</v>
      </c>
    </row>
    <row r="6" spans="1:6" x14ac:dyDescent="0.25">
      <c r="B6" s="4" t="s">
        <v>1940</v>
      </c>
    </row>
    <row r="7" spans="1:6" x14ac:dyDescent="0.25">
      <c r="B7" s="4" t="s">
        <v>1941</v>
      </c>
    </row>
    <row r="8" spans="1:6" x14ac:dyDescent="0.25">
      <c r="B8" s="4" t="s">
        <v>1942</v>
      </c>
    </row>
    <row r="11" spans="1:6" x14ac:dyDescent="0.25">
      <c r="A11" s="3" t="s">
        <v>1943</v>
      </c>
    </row>
    <row r="12" spans="1:6" x14ac:dyDescent="0.25">
      <c r="B12" s="6" t="s">
        <v>451</v>
      </c>
      <c r="C12" s="74" t="s">
        <v>1944</v>
      </c>
      <c r="D12" s="39"/>
    </row>
    <row r="13" spans="1:6" x14ac:dyDescent="0.25">
      <c r="B13" s="6" t="s">
        <v>488</v>
      </c>
      <c r="C13" s="74" t="s">
        <v>1945</v>
      </c>
      <c r="D13" s="39"/>
    </row>
    <row r="14" spans="1:6" x14ac:dyDescent="0.25">
      <c r="B14" s="6" t="s">
        <v>491</v>
      </c>
      <c r="C14" s="74" t="s">
        <v>1946</v>
      </c>
      <c r="D14" s="39"/>
    </row>
    <row r="15" spans="1:6" x14ac:dyDescent="0.25">
      <c r="B15" s="6" t="s">
        <v>494</v>
      </c>
      <c r="C15" s="74" t="s">
        <v>1947</v>
      </c>
      <c r="D15" s="39"/>
    </row>
    <row r="16" spans="1:6" x14ac:dyDescent="0.25">
      <c r="B16" s="6" t="s">
        <v>497</v>
      </c>
      <c r="C16" s="74" t="s">
        <v>1948</v>
      </c>
      <c r="D16" s="39"/>
    </row>
    <row r="19" spans="1:5" x14ac:dyDescent="0.25">
      <c r="A19" s="3" t="s">
        <v>1949</v>
      </c>
    </row>
    <row r="21" spans="1:5" x14ac:dyDescent="0.25">
      <c r="B21" s="4" t="s">
        <v>1950</v>
      </c>
    </row>
    <row r="22" spans="1:5" x14ac:dyDescent="0.25">
      <c r="B22" s="93" t="s">
        <v>19</v>
      </c>
      <c r="C22" s="93" t="s">
        <v>1346</v>
      </c>
      <c r="D22" s="93"/>
      <c r="E22" s="9"/>
    </row>
    <row r="23" spans="1:5" x14ac:dyDescent="0.25">
      <c r="B23" s="11" t="s">
        <v>1347</v>
      </c>
      <c r="C23" s="11" t="s">
        <v>1348</v>
      </c>
      <c r="D23" s="11"/>
      <c r="E23" s="9"/>
    </row>
    <row r="24" spans="1:5" x14ac:dyDescent="0.25">
      <c r="B24" s="11" t="s">
        <v>1928</v>
      </c>
      <c r="C24" s="11" t="s">
        <v>1929</v>
      </c>
      <c r="D24" s="11"/>
      <c r="E24" s="9"/>
    </row>
    <row r="25" spans="1:5" x14ac:dyDescent="0.25">
      <c r="B25" s="11" t="s">
        <v>19</v>
      </c>
      <c r="C25" s="11" t="s">
        <v>623</v>
      </c>
      <c r="D25" s="11" t="s">
        <v>1351</v>
      </c>
      <c r="E25" s="9"/>
    </row>
    <row r="26" spans="1:5" x14ac:dyDescent="0.25">
      <c r="B26" s="11" t="s">
        <v>1352</v>
      </c>
      <c r="C26" s="11" t="s">
        <v>1353</v>
      </c>
      <c r="D26" s="11" t="s">
        <v>52</v>
      </c>
      <c r="E26" s="9"/>
    </row>
    <row r="27" spans="1:5" x14ac:dyDescent="0.25">
      <c r="B27" s="11" t="s">
        <v>1352</v>
      </c>
      <c r="C27" s="11" t="s">
        <v>1354</v>
      </c>
      <c r="D27" s="11" t="s">
        <v>1355</v>
      </c>
      <c r="E27" s="9"/>
    </row>
    <row r="28" spans="1:5" x14ac:dyDescent="0.25">
      <c r="B28" s="93" t="s">
        <v>19</v>
      </c>
      <c r="C28" s="93" t="s">
        <v>1349</v>
      </c>
      <c r="D28" s="93"/>
      <c r="E28" s="9"/>
    </row>
    <row r="29" spans="1:5" x14ac:dyDescent="0.25">
      <c r="B29" s="11" t="s">
        <v>1930</v>
      </c>
      <c r="C29" s="11" t="s">
        <v>1359</v>
      </c>
      <c r="D29" s="87" t="s">
        <v>1360</v>
      </c>
      <c r="E29" s="9"/>
    </row>
    <row r="30" spans="1:5" x14ac:dyDescent="0.25">
      <c r="B30" s="11" t="s">
        <v>1928</v>
      </c>
      <c r="C30" s="11" t="s">
        <v>1933</v>
      </c>
      <c r="D30" s="11"/>
      <c r="E30" s="9"/>
    </row>
    <row r="31" spans="1:5" x14ac:dyDescent="0.25">
      <c r="B31" s="11" t="s">
        <v>19</v>
      </c>
      <c r="C31" s="11" t="s">
        <v>623</v>
      </c>
      <c r="D31" s="11" t="s">
        <v>1351</v>
      </c>
      <c r="E31" s="9"/>
    </row>
    <row r="32" spans="1:5" x14ac:dyDescent="0.25">
      <c r="B32" s="11" t="s">
        <v>1352</v>
      </c>
      <c r="C32" s="11" t="s">
        <v>1356</v>
      </c>
      <c r="D32" s="11" t="s">
        <v>52</v>
      </c>
      <c r="E32" s="9"/>
    </row>
    <row r="33" spans="2:5" x14ac:dyDescent="0.25">
      <c r="B33" s="11" t="s">
        <v>1352</v>
      </c>
      <c r="C33" s="11" t="s">
        <v>1357</v>
      </c>
      <c r="D33" s="11" t="s">
        <v>1355</v>
      </c>
      <c r="E33" s="9"/>
    </row>
    <row r="34" spans="2:5" x14ac:dyDescent="0.25">
      <c r="E34" s="9"/>
    </row>
    <row r="35" spans="2:5" x14ac:dyDescent="0.25">
      <c r="B35" s="4" t="s">
        <v>1951</v>
      </c>
      <c r="E35" s="9"/>
    </row>
    <row r="36" spans="2:5" x14ac:dyDescent="0.25">
      <c r="B36" s="93" t="s">
        <v>19</v>
      </c>
      <c r="C36" s="93" t="s">
        <v>1349</v>
      </c>
      <c r="D36" s="93"/>
    </row>
    <row r="37" spans="2:5" x14ac:dyDescent="0.25">
      <c r="B37" s="11" t="s">
        <v>1930</v>
      </c>
      <c r="C37" s="11" t="s">
        <v>1350</v>
      </c>
      <c r="D37" s="11"/>
    </row>
    <row r="38" spans="2:5" x14ac:dyDescent="0.25">
      <c r="B38" s="11" t="s">
        <v>1928</v>
      </c>
      <c r="C38" s="11" t="s">
        <v>1931</v>
      </c>
      <c r="D38" s="11"/>
    </row>
    <row r="39" spans="2:5" x14ac:dyDescent="0.25">
      <c r="B39" s="11" t="s">
        <v>19</v>
      </c>
      <c r="C39" s="11" t="s">
        <v>623</v>
      </c>
      <c r="D39" s="11" t="s">
        <v>1351</v>
      </c>
    </row>
    <row r="40" spans="2:5" x14ac:dyDescent="0.25">
      <c r="B40" s="11" t="s">
        <v>1352</v>
      </c>
      <c r="C40" s="11" t="s">
        <v>1356</v>
      </c>
      <c r="D40" s="11" t="s">
        <v>52</v>
      </c>
    </row>
    <row r="41" spans="2:5" x14ac:dyDescent="0.25">
      <c r="B41" s="11" t="s">
        <v>1352</v>
      </c>
      <c r="C41" s="11" t="s">
        <v>1357</v>
      </c>
      <c r="D41" s="11" t="s">
        <v>1355</v>
      </c>
    </row>
    <row r="42" spans="2:5" x14ac:dyDescent="0.25">
      <c r="B42" s="93" t="s">
        <v>19</v>
      </c>
      <c r="C42" s="93" t="s">
        <v>1346</v>
      </c>
      <c r="D42" s="93"/>
    </row>
    <row r="43" spans="2:5" x14ac:dyDescent="0.25">
      <c r="B43" s="11" t="s">
        <v>1347</v>
      </c>
      <c r="C43" s="11" t="s">
        <v>1358</v>
      </c>
      <c r="D43" s="11"/>
    </row>
    <row r="44" spans="2:5" x14ac:dyDescent="0.25">
      <c r="B44" s="11" t="s">
        <v>1928</v>
      </c>
      <c r="C44" s="11" t="s">
        <v>1932</v>
      </c>
      <c r="D44" s="11"/>
    </row>
    <row r="45" spans="2:5" x14ac:dyDescent="0.25">
      <c r="B45" s="11" t="s">
        <v>19</v>
      </c>
      <c r="C45" s="11" t="s">
        <v>623</v>
      </c>
      <c r="D45" s="11" t="s">
        <v>1351</v>
      </c>
    </row>
    <row r="46" spans="2:5" x14ac:dyDescent="0.25">
      <c r="B46" s="11" t="s">
        <v>1352</v>
      </c>
      <c r="C46" s="11" t="s">
        <v>1353</v>
      </c>
      <c r="D46" s="11" t="s">
        <v>52</v>
      </c>
    </row>
    <row r="47" spans="2:5" x14ac:dyDescent="0.25">
      <c r="B47" s="11" t="s">
        <v>1352</v>
      </c>
      <c r="C47" s="11" t="s">
        <v>1354</v>
      </c>
      <c r="D47" s="11" t="s">
        <v>1355</v>
      </c>
    </row>
    <row r="50" spans="2:4" x14ac:dyDescent="0.25">
      <c r="B50" s="4" t="s">
        <v>1952</v>
      </c>
    </row>
    <row r="51" spans="2:4" x14ac:dyDescent="0.25">
      <c r="B51" s="4" t="s">
        <v>1953</v>
      </c>
    </row>
    <row r="52" spans="2:4" x14ac:dyDescent="0.25">
      <c r="B52" s="4" t="s">
        <v>1954</v>
      </c>
    </row>
    <row r="53" spans="2:4" x14ac:dyDescent="0.25">
      <c r="B53" s="4" t="s">
        <v>1955</v>
      </c>
    </row>
    <row r="54" spans="2:4" x14ac:dyDescent="0.25">
      <c r="B54" s="4" t="s">
        <v>1956</v>
      </c>
    </row>
    <row r="55" spans="2:4" x14ac:dyDescent="0.25">
      <c r="B55" s="4" t="s">
        <v>1957</v>
      </c>
    </row>
    <row r="57" spans="2:4" x14ac:dyDescent="0.25">
      <c r="B57" s="4" t="s">
        <v>1958</v>
      </c>
    </row>
    <row r="58" spans="2:4" x14ac:dyDescent="0.25">
      <c r="B58" s="4" t="s">
        <v>1959</v>
      </c>
    </row>
    <row r="59" spans="2:4" x14ac:dyDescent="0.25">
      <c r="B59" s="4" t="s">
        <v>1960</v>
      </c>
    </row>
    <row r="62" spans="2:4" x14ac:dyDescent="0.25">
      <c r="B62" s="4" t="s">
        <v>1961</v>
      </c>
    </row>
    <row r="63" spans="2:4" x14ac:dyDescent="0.25">
      <c r="B63" s="6" t="s">
        <v>1962</v>
      </c>
      <c r="C63" s="74" t="s">
        <v>1727</v>
      </c>
      <c r="D63" s="39"/>
    </row>
    <row r="64" spans="2:4" x14ac:dyDescent="0.25">
      <c r="B64" s="63" t="s">
        <v>1963</v>
      </c>
      <c r="C64" s="74" t="s">
        <v>1964</v>
      </c>
      <c r="D64" s="39"/>
    </row>
    <row r="65" spans="1:11" x14ac:dyDescent="0.25">
      <c r="B65" s="94"/>
      <c r="C65" s="74" t="s">
        <v>1965</v>
      </c>
      <c r="D65" s="39"/>
    </row>
    <row r="66" spans="1:11" x14ac:dyDescent="0.25">
      <c r="B66" s="6" t="s">
        <v>1966</v>
      </c>
      <c r="C66" s="74" t="s">
        <v>1967</v>
      </c>
      <c r="D66" s="39"/>
    </row>
    <row r="69" spans="1:11" x14ac:dyDescent="0.25">
      <c r="A69" s="3" t="s">
        <v>1968</v>
      </c>
    </row>
    <row r="71" spans="1:11" x14ac:dyDescent="0.25">
      <c r="B71" s="11" t="s">
        <v>19</v>
      </c>
      <c r="C71" s="11" t="s">
        <v>1361</v>
      </c>
      <c r="D71" s="11"/>
      <c r="E71" s="11"/>
      <c r="F71" s="9"/>
      <c r="G71" s="9"/>
      <c r="H71" s="9"/>
      <c r="I71" s="9"/>
      <c r="J71" s="9"/>
      <c r="K71" s="9"/>
    </row>
    <row r="72" spans="1:11" x14ac:dyDescent="0.25">
      <c r="B72" s="11" t="s">
        <v>50</v>
      </c>
      <c r="C72" s="11" t="s">
        <v>1367</v>
      </c>
      <c r="D72" s="11" t="s">
        <v>39</v>
      </c>
      <c r="E72" s="11"/>
      <c r="F72" s="9"/>
      <c r="G72" s="9"/>
      <c r="H72" s="9"/>
      <c r="I72" s="9"/>
      <c r="J72" s="9"/>
      <c r="K72" s="9"/>
    </row>
    <row r="73" spans="1:11" x14ac:dyDescent="0.25">
      <c r="B73" s="11" t="s">
        <v>19</v>
      </c>
      <c r="C73" s="11" t="s">
        <v>1362</v>
      </c>
      <c r="D73" s="11"/>
      <c r="E73" s="11"/>
      <c r="F73" s="9"/>
      <c r="G73" s="9"/>
      <c r="H73" s="9"/>
      <c r="I73" s="9"/>
      <c r="J73" s="9"/>
      <c r="K73" s="9"/>
    </row>
    <row r="74" spans="1:11" x14ac:dyDescent="0.25">
      <c r="B74" s="11" t="s">
        <v>50</v>
      </c>
      <c r="C74" s="11" t="s">
        <v>1363</v>
      </c>
      <c r="D74" s="11" t="s">
        <v>39</v>
      </c>
      <c r="E74" s="11"/>
      <c r="F74" s="9"/>
      <c r="G74" s="9"/>
      <c r="H74" s="9"/>
      <c r="I74" s="9"/>
      <c r="J74" s="9"/>
      <c r="K74" s="9"/>
    </row>
    <row r="75" spans="1:11" x14ac:dyDescent="0.25">
      <c r="B75" s="11" t="s">
        <v>50</v>
      </c>
      <c r="C75" s="11" t="s">
        <v>1364</v>
      </c>
      <c r="D75" s="11" t="s">
        <v>52</v>
      </c>
      <c r="E75" s="11"/>
      <c r="F75" s="9"/>
      <c r="G75" s="9"/>
      <c r="H75" s="9"/>
      <c r="I75" s="9"/>
      <c r="J75" s="9"/>
      <c r="K75" s="9"/>
    </row>
    <row r="76" spans="1:11" x14ac:dyDescent="0.25">
      <c r="B76" s="11" t="s">
        <v>50</v>
      </c>
      <c r="C76" s="11" t="s">
        <v>1365</v>
      </c>
      <c r="D76" s="11" t="s">
        <v>1355</v>
      </c>
      <c r="E76" s="11"/>
      <c r="F76" s="9"/>
      <c r="G76" s="9"/>
      <c r="H76" s="9"/>
      <c r="I76" s="9"/>
      <c r="J76" s="9"/>
      <c r="K76" s="9"/>
    </row>
    <row r="77" spans="1:11" x14ac:dyDescent="0.25">
      <c r="B77" s="11"/>
      <c r="C77" s="11"/>
      <c r="D77" s="11"/>
      <c r="E77" s="11"/>
      <c r="F77" s="9"/>
      <c r="G77" s="9"/>
      <c r="H77" s="9"/>
      <c r="I77" s="9"/>
      <c r="J77" s="9"/>
      <c r="K77" s="9"/>
    </row>
    <row r="78" spans="1:11" x14ac:dyDescent="0.25">
      <c r="B78" s="23" t="s">
        <v>119</v>
      </c>
      <c r="C78" s="23" t="s">
        <v>120</v>
      </c>
      <c r="D78" s="23" t="s">
        <v>657</v>
      </c>
      <c r="E78" s="23"/>
      <c r="F78" s="90"/>
      <c r="G78" s="90"/>
      <c r="H78" s="9"/>
      <c r="I78" s="9"/>
      <c r="J78" s="9"/>
      <c r="K78" s="9"/>
    </row>
    <row r="79" spans="1:11" x14ac:dyDescent="0.25">
      <c r="B79" s="61" t="s">
        <v>53</v>
      </c>
      <c r="C79" s="61" t="s">
        <v>554</v>
      </c>
      <c r="D79" s="61"/>
      <c r="E79" s="13"/>
      <c r="F79" s="91"/>
      <c r="G79" s="92"/>
      <c r="H79" s="9"/>
      <c r="I79" s="9"/>
      <c r="J79" s="9"/>
      <c r="K79" s="9"/>
    </row>
    <row r="80" spans="1:11" x14ac:dyDescent="0.25">
      <c r="B80" s="8" t="s">
        <v>12</v>
      </c>
      <c r="C80" s="8" t="s">
        <v>1934</v>
      </c>
      <c r="D80" s="8"/>
      <c r="E80" s="8"/>
      <c r="F80" s="20"/>
      <c r="G80" s="20"/>
      <c r="H80" s="9"/>
      <c r="I80" s="9"/>
      <c r="J80" s="9"/>
      <c r="K80" s="9"/>
    </row>
    <row r="81" spans="1:11" x14ac:dyDescent="0.25">
      <c r="B81" s="8"/>
      <c r="C81" s="8" t="s">
        <v>125</v>
      </c>
      <c r="D81" s="49" t="s">
        <v>1366</v>
      </c>
      <c r="E81" s="11"/>
      <c r="F81" s="9" t="s">
        <v>1969</v>
      </c>
      <c r="G81" s="9"/>
      <c r="H81" s="9" t="s">
        <v>19</v>
      </c>
      <c r="I81" s="9"/>
      <c r="J81" s="9"/>
      <c r="K81" s="9"/>
    </row>
    <row r="82" spans="1:11" x14ac:dyDescent="0.25">
      <c r="B82" s="8"/>
      <c r="C82" s="8" t="s">
        <v>12</v>
      </c>
      <c r="D82" s="49" t="s">
        <v>1367</v>
      </c>
      <c r="E82" s="11"/>
      <c r="F82" s="9"/>
      <c r="G82" s="9"/>
      <c r="H82" s="9"/>
      <c r="I82" s="9"/>
      <c r="J82" s="9"/>
      <c r="K82" s="9"/>
    </row>
    <row r="83" spans="1:11" x14ac:dyDescent="0.25">
      <c r="B83" s="8"/>
      <c r="C83" s="8"/>
      <c r="D83" s="11" t="s">
        <v>125</v>
      </c>
      <c r="E83" s="49" t="s">
        <v>1368</v>
      </c>
      <c r="F83" s="9" t="s">
        <v>1970</v>
      </c>
      <c r="G83" s="9"/>
      <c r="H83" s="9"/>
      <c r="I83" s="9"/>
      <c r="J83" s="9"/>
      <c r="K83" s="9"/>
    </row>
    <row r="84" spans="1:11" x14ac:dyDescent="0.25">
      <c r="B84" s="11"/>
      <c r="C84" s="11"/>
      <c r="D84" s="11" t="s">
        <v>10</v>
      </c>
      <c r="E84" s="11" t="s">
        <v>133</v>
      </c>
      <c r="F84" s="9"/>
      <c r="G84" s="9"/>
      <c r="H84" s="9"/>
      <c r="I84" s="9"/>
      <c r="J84" s="9"/>
      <c r="K84" s="9"/>
    </row>
    <row r="85" spans="1:11" x14ac:dyDescent="0.25">
      <c r="B85" s="11"/>
      <c r="C85" s="11" t="s">
        <v>11</v>
      </c>
      <c r="D85" s="11"/>
      <c r="E85" s="11"/>
      <c r="F85" s="9"/>
      <c r="G85" s="9"/>
      <c r="H85" s="9"/>
      <c r="I85" s="9"/>
      <c r="J85" s="9"/>
      <c r="K85" s="9"/>
    </row>
    <row r="86" spans="1:11" x14ac:dyDescent="0.25">
      <c r="B86" s="11" t="s">
        <v>11</v>
      </c>
      <c r="C86" s="11"/>
      <c r="D86" s="11"/>
      <c r="E86" s="11"/>
      <c r="F86" s="9"/>
      <c r="G86" s="9"/>
      <c r="H86" s="9"/>
      <c r="I86" s="9"/>
      <c r="J86" s="9"/>
      <c r="K86" s="9"/>
    </row>
    <row r="87" spans="1:11" x14ac:dyDescent="0.25">
      <c r="B87" s="61" t="s">
        <v>53</v>
      </c>
      <c r="C87" s="61" t="s">
        <v>133</v>
      </c>
      <c r="D87" s="61"/>
      <c r="E87" s="13"/>
      <c r="F87" s="91"/>
      <c r="G87" s="92"/>
      <c r="H87" s="9"/>
      <c r="I87" s="9"/>
      <c r="J87" s="9"/>
      <c r="K87" s="9"/>
    </row>
    <row r="88" spans="1:11" x14ac:dyDescent="0.25">
      <c r="B88" s="11" t="s">
        <v>125</v>
      </c>
      <c r="C88" s="49" t="s">
        <v>1369</v>
      </c>
      <c r="D88" s="11"/>
      <c r="E88" s="11"/>
      <c r="F88" s="9" t="s">
        <v>1971</v>
      </c>
      <c r="G88" s="9"/>
      <c r="H88" s="9"/>
      <c r="I88" s="9"/>
      <c r="J88" s="9"/>
      <c r="K88" s="9"/>
    </row>
    <row r="89" spans="1:11" x14ac:dyDescent="0.25">
      <c r="B89" s="11" t="s">
        <v>12</v>
      </c>
      <c r="C89" s="11" t="s">
        <v>1363</v>
      </c>
      <c r="D89" s="11"/>
      <c r="E89" s="11"/>
      <c r="F89" s="9" t="s">
        <v>1972</v>
      </c>
      <c r="G89" s="9"/>
      <c r="H89" s="9"/>
      <c r="I89" s="9"/>
      <c r="J89" s="9"/>
      <c r="K89" s="9"/>
    </row>
    <row r="90" spans="1:11" x14ac:dyDescent="0.25">
      <c r="B90" s="11"/>
      <c r="C90" s="11" t="s">
        <v>125</v>
      </c>
      <c r="D90" s="11" t="s">
        <v>1935</v>
      </c>
      <c r="E90" s="11"/>
      <c r="F90" s="9"/>
      <c r="G90" s="9"/>
      <c r="H90" s="9"/>
      <c r="I90" s="9"/>
      <c r="J90" s="9"/>
      <c r="K90" s="9"/>
    </row>
    <row r="91" spans="1:11" x14ac:dyDescent="0.25">
      <c r="B91" s="11"/>
      <c r="C91" s="11" t="s">
        <v>10</v>
      </c>
      <c r="D91" s="11" t="s">
        <v>554</v>
      </c>
      <c r="E91" s="11"/>
      <c r="F91" s="9"/>
      <c r="G91" s="9"/>
      <c r="H91" s="9"/>
      <c r="I91" s="9"/>
      <c r="J91" s="9"/>
      <c r="K91" s="9"/>
    </row>
    <row r="92" spans="1:11" x14ac:dyDescent="0.25">
      <c r="B92" s="11" t="s">
        <v>11</v>
      </c>
      <c r="C92" s="11"/>
      <c r="D92" s="11"/>
      <c r="E92" s="11"/>
      <c r="F92" s="9"/>
      <c r="G92" s="9"/>
      <c r="H92" s="9"/>
      <c r="I92" s="9"/>
      <c r="J92" s="9"/>
      <c r="K92" s="9"/>
    </row>
    <row r="95" spans="1:11" x14ac:dyDescent="0.25">
      <c r="A95" s="3" t="s">
        <v>1973</v>
      </c>
    </row>
    <row r="96" spans="1:11" x14ac:dyDescent="0.25">
      <c r="B96" s="4" t="s">
        <v>1974</v>
      </c>
    </row>
    <row r="97" spans="1:2" x14ac:dyDescent="0.25">
      <c r="B97" s="4" t="s">
        <v>1975</v>
      </c>
    </row>
    <row r="98" spans="1:2" x14ac:dyDescent="0.25">
      <c r="B98" s="4" t="s">
        <v>1976</v>
      </c>
    </row>
    <row r="99" spans="1:2" x14ac:dyDescent="0.25">
      <c r="B99" s="4" t="s">
        <v>1977</v>
      </c>
    </row>
    <row r="100" spans="1:2" x14ac:dyDescent="0.25">
      <c r="B100" s="4" t="s">
        <v>1978</v>
      </c>
    </row>
    <row r="102" spans="1:2" x14ac:dyDescent="0.25">
      <c r="B102" s="4" t="s">
        <v>1979</v>
      </c>
    </row>
    <row r="103" spans="1:2" x14ac:dyDescent="0.25">
      <c r="B103" s="4" t="s">
        <v>1980</v>
      </c>
    </row>
    <row r="104" spans="1:2" x14ac:dyDescent="0.25">
      <c r="B104" s="4" t="s">
        <v>1981</v>
      </c>
    </row>
    <row r="105" spans="1:2" x14ac:dyDescent="0.25">
      <c r="B105" s="4" t="s">
        <v>1982</v>
      </c>
    </row>
    <row r="107" spans="1:2" x14ac:dyDescent="0.25">
      <c r="B107" s="4" t="s">
        <v>1983</v>
      </c>
    </row>
    <row r="108" spans="1:2" x14ac:dyDescent="0.25">
      <c r="B108" s="4" t="s">
        <v>1984</v>
      </c>
    </row>
    <row r="109" spans="1:2" x14ac:dyDescent="0.25">
      <c r="B109" s="4" t="s">
        <v>1985</v>
      </c>
    </row>
    <row r="112" spans="1:2" x14ac:dyDescent="0.25">
      <c r="A112" s="3" t="s">
        <v>1986</v>
      </c>
    </row>
    <row r="113" spans="1:4" x14ac:dyDescent="0.25">
      <c r="B113" s="4" t="s">
        <v>1987</v>
      </c>
    </row>
    <row r="114" spans="1:4" x14ac:dyDescent="0.25">
      <c r="B114" s="4" t="s">
        <v>1988</v>
      </c>
    </row>
    <row r="115" spans="1:4" x14ac:dyDescent="0.25">
      <c r="B115" s="4" t="s">
        <v>1989</v>
      </c>
    </row>
    <row r="116" spans="1:4" x14ac:dyDescent="0.25">
      <c r="B116" s="4" t="s">
        <v>1990</v>
      </c>
    </row>
    <row r="119" spans="1:4" x14ac:dyDescent="0.25">
      <c r="A119" s="3" t="s">
        <v>1770</v>
      </c>
    </row>
    <row r="120" spans="1:4" x14ac:dyDescent="0.25">
      <c r="B120" s="6" t="s">
        <v>1518</v>
      </c>
      <c r="C120" s="74" t="s">
        <v>1519</v>
      </c>
      <c r="D120" s="39"/>
    </row>
    <row r="121" spans="1:4" x14ac:dyDescent="0.25">
      <c r="B121" s="6" t="s">
        <v>1991</v>
      </c>
      <c r="C121" s="74" t="s">
        <v>1992</v>
      </c>
      <c r="D121" s="39"/>
    </row>
    <row r="122" spans="1:4" x14ac:dyDescent="0.25">
      <c r="B122" s="6" t="s">
        <v>942</v>
      </c>
      <c r="C122" s="74" t="s">
        <v>1993</v>
      </c>
      <c r="D122" s="39"/>
    </row>
    <row r="123" spans="1:4" x14ac:dyDescent="0.25">
      <c r="B123" s="6" t="s">
        <v>1994</v>
      </c>
      <c r="C123" s="74" t="s">
        <v>1995</v>
      </c>
      <c r="D123" s="39"/>
    </row>
    <row r="124" spans="1:4" x14ac:dyDescent="0.25">
      <c r="B124" s="6" t="s">
        <v>1727</v>
      </c>
      <c r="C124" s="74" t="s">
        <v>1996</v>
      </c>
      <c r="D124" s="39"/>
    </row>
    <row r="125" spans="1:4" x14ac:dyDescent="0.25">
      <c r="B125" s="6" t="s">
        <v>1997</v>
      </c>
      <c r="C125" s="74" t="s">
        <v>1998</v>
      </c>
      <c r="D125" s="39"/>
    </row>
    <row r="126" spans="1:4" x14ac:dyDescent="0.25">
      <c r="B126" s="6" t="s">
        <v>1999</v>
      </c>
      <c r="C126" s="74" t="s">
        <v>2000</v>
      </c>
      <c r="D126" s="39"/>
    </row>
    <row r="127" spans="1:4" x14ac:dyDescent="0.25">
      <c r="B127" s="6" t="s">
        <v>2001</v>
      </c>
      <c r="C127" s="74" t="s">
        <v>2002</v>
      </c>
      <c r="D127" s="39"/>
    </row>
    <row r="128" spans="1:4" x14ac:dyDescent="0.25">
      <c r="B128" s="6" t="s">
        <v>1671</v>
      </c>
      <c r="C128" s="74" t="s">
        <v>2003</v>
      </c>
      <c r="D128" s="39"/>
    </row>
  </sheetData>
  <phoneticPr fontId="1"/>
  <pageMargins left="0.75" right="0.35" top="1" bottom="1" header="0.51200000000000001" footer="0.51200000000000001"/>
  <pageSetup paperSize="9" scale="8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DFCC5-064D-4CB7-8D72-88ACDAD02E48}">
  <dimension ref="A1:F89"/>
  <sheetViews>
    <sheetView topLeftCell="A66" zoomScaleNormal="100" workbookViewId="0">
      <selection activeCell="G93" sqref="G93"/>
    </sheetView>
  </sheetViews>
  <sheetFormatPr defaultRowHeight="15.75" x14ac:dyDescent="0.25"/>
  <cols>
    <col min="1" max="1" width="3.25" style="3" customWidth="1"/>
    <col min="2" max="2" width="25.625" style="4" customWidth="1"/>
    <col min="3" max="3" width="35.625" style="4" customWidth="1"/>
    <col min="4" max="4" width="38.25" style="4" customWidth="1"/>
    <col min="5" max="5" width="21.75" style="4" customWidth="1"/>
    <col min="6" max="6" width="9" style="4"/>
    <col min="7" max="16384" width="9" style="2"/>
  </cols>
  <sheetData>
    <row r="1" spans="1:6" s="3" customFormat="1" ht="19.5" x14ac:dyDescent="0.3">
      <c r="A1" s="1" t="s">
        <v>2004</v>
      </c>
      <c r="B1" s="4"/>
      <c r="C1" s="4"/>
      <c r="D1" s="4"/>
      <c r="E1" s="4"/>
      <c r="F1" s="5"/>
    </row>
    <row r="3" spans="1:6" x14ac:dyDescent="0.25">
      <c r="A3" s="3" t="s">
        <v>2005</v>
      </c>
    </row>
    <row r="4" spans="1:6" x14ac:dyDescent="0.25">
      <c r="B4" s="4" t="s">
        <v>2006</v>
      </c>
    </row>
    <row r="5" spans="1:6" x14ac:dyDescent="0.25">
      <c r="B5" s="4" t="s">
        <v>2007</v>
      </c>
    </row>
    <row r="6" spans="1:6" x14ac:dyDescent="0.25">
      <c r="B6" s="4" t="s">
        <v>2008</v>
      </c>
    </row>
    <row r="7" spans="1:6" x14ac:dyDescent="0.25">
      <c r="B7" s="4" t="s">
        <v>2009</v>
      </c>
    </row>
    <row r="8" spans="1:6" x14ac:dyDescent="0.25">
      <c r="B8" s="4" t="s">
        <v>2010</v>
      </c>
    </row>
    <row r="9" spans="1:6" x14ac:dyDescent="0.25">
      <c r="B9" s="4" t="s">
        <v>2011</v>
      </c>
    </row>
    <row r="10" spans="1:6" x14ac:dyDescent="0.25">
      <c r="B10" s="4" t="s">
        <v>2012</v>
      </c>
    </row>
    <row r="12" spans="1:6" x14ac:dyDescent="0.25">
      <c r="B12" s="4" t="s">
        <v>2013</v>
      </c>
    </row>
    <row r="13" spans="1:6" x14ac:dyDescent="0.25">
      <c r="B13" s="4" t="s">
        <v>2014</v>
      </c>
    </row>
    <row r="14" spans="1:6" x14ac:dyDescent="0.25">
      <c r="B14" s="4" t="s">
        <v>2015</v>
      </c>
    </row>
    <row r="15" spans="1:6" x14ac:dyDescent="0.25">
      <c r="B15" s="4" t="s">
        <v>2016</v>
      </c>
    </row>
    <row r="16" spans="1:6" x14ac:dyDescent="0.25">
      <c r="B16" s="4" t="s">
        <v>2017</v>
      </c>
    </row>
    <row r="21" spans="1:4" x14ac:dyDescent="0.25">
      <c r="A21" s="3" t="s">
        <v>1677</v>
      </c>
    </row>
    <row r="22" spans="1:4" x14ac:dyDescent="0.25">
      <c r="B22" s="6" t="s">
        <v>1370</v>
      </c>
      <c r="C22" s="6" t="s">
        <v>25</v>
      </c>
      <c r="D22" s="6" t="s">
        <v>1009</v>
      </c>
    </row>
    <row r="23" spans="1:4" x14ac:dyDescent="0.25">
      <c r="B23" s="4" t="s">
        <v>2018</v>
      </c>
    </row>
    <row r="24" spans="1:4" x14ac:dyDescent="0.25">
      <c r="B24" s="4" t="s">
        <v>2019</v>
      </c>
    </row>
    <row r="27" spans="1:4" x14ac:dyDescent="0.25">
      <c r="A27" s="3" t="s">
        <v>2020</v>
      </c>
    </row>
    <row r="28" spans="1:4" x14ac:dyDescent="0.25">
      <c r="B28" s="4" t="s">
        <v>2021</v>
      </c>
    </row>
    <row r="29" spans="1:4" x14ac:dyDescent="0.25">
      <c r="B29" s="6" t="s">
        <v>501</v>
      </c>
      <c r="C29" s="6" t="s">
        <v>514</v>
      </c>
      <c r="D29" s="6" t="s">
        <v>2022</v>
      </c>
    </row>
    <row r="30" spans="1:4" x14ac:dyDescent="0.25">
      <c r="B30" s="6" t="s">
        <v>501</v>
      </c>
      <c r="C30" s="6" t="s">
        <v>514</v>
      </c>
      <c r="D30" s="6" t="s">
        <v>2023</v>
      </c>
    </row>
    <row r="31" spans="1:4" x14ac:dyDescent="0.25">
      <c r="B31" s="6" t="s">
        <v>501</v>
      </c>
      <c r="C31" s="6" t="s">
        <v>514</v>
      </c>
      <c r="D31" s="6" t="s">
        <v>2024</v>
      </c>
    </row>
    <row r="34" spans="1:5" x14ac:dyDescent="0.25">
      <c r="A34" s="3" t="s">
        <v>2025</v>
      </c>
    </row>
    <row r="35" spans="1:5" x14ac:dyDescent="0.25">
      <c r="B35" s="4" t="s">
        <v>2026</v>
      </c>
    </row>
    <row r="36" spans="1:5" x14ac:dyDescent="0.25">
      <c r="B36" s="6" t="s">
        <v>337</v>
      </c>
      <c r="C36" s="6" t="s">
        <v>1127</v>
      </c>
      <c r="D36" s="6" t="s">
        <v>1116</v>
      </c>
      <c r="E36" s="6" t="s">
        <v>2022</v>
      </c>
    </row>
    <row r="37" spans="1:5" x14ac:dyDescent="0.25">
      <c r="B37" s="6" t="s">
        <v>337</v>
      </c>
      <c r="C37" s="6" t="s">
        <v>2027</v>
      </c>
      <c r="D37" s="6" t="s">
        <v>1116</v>
      </c>
      <c r="E37" s="6" t="s">
        <v>2023</v>
      </c>
    </row>
    <row r="38" spans="1:5" x14ac:dyDescent="0.25">
      <c r="B38" s="6" t="s">
        <v>337</v>
      </c>
      <c r="C38" s="6" t="s">
        <v>2028</v>
      </c>
      <c r="D38" s="6" t="s">
        <v>1116</v>
      </c>
      <c r="E38" s="6" t="s">
        <v>2024</v>
      </c>
    </row>
    <row r="39" spans="1:5" x14ac:dyDescent="0.25">
      <c r="B39" s="6" t="s">
        <v>501</v>
      </c>
      <c r="C39" s="6" t="s">
        <v>514</v>
      </c>
      <c r="D39" s="6" t="s">
        <v>1127</v>
      </c>
      <c r="E39" s="6"/>
    </row>
    <row r="40" spans="1:5" x14ac:dyDescent="0.25">
      <c r="B40" s="6" t="s">
        <v>501</v>
      </c>
      <c r="C40" s="6" t="s">
        <v>514</v>
      </c>
      <c r="D40" s="6" t="s">
        <v>2027</v>
      </c>
      <c r="E40" s="6"/>
    </row>
    <row r="41" spans="1:5" x14ac:dyDescent="0.25">
      <c r="B41" s="6" t="s">
        <v>501</v>
      </c>
      <c r="C41" s="6" t="s">
        <v>514</v>
      </c>
      <c r="D41" s="6" t="s">
        <v>2028</v>
      </c>
      <c r="E41" s="6"/>
    </row>
    <row r="44" spans="1:5" x14ac:dyDescent="0.25">
      <c r="A44" s="3" t="s">
        <v>2029</v>
      </c>
    </row>
    <row r="45" spans="1:5" x14ac:dyDescent="0.25">
      <c r="B45" s="6" t="s">
        <v>501</v>
      </c>
      <c r="C45" s="6" t="s">
        <v>514</v>
      </c>
      <c r="D45" s="6" t="s">
        <v>2030</v>
      </c>
    </row>
    <row r="47" spans="1:5" x14ac:dyDescent="0.25">
      <c r="B47" s="4" t="s">
        <v>1441</v>
      </c>
    </row>
    <row r="48" spans="1:5" x14ac:dyDescent="0.25">
      <c r="B48" s="4" t="s">
        <v>2031</v>
      </c>
    </row>
    <row r="49" spans="1:3" x14ac:dyDescent="0.25">
      <c r="B49" s="4" t="s">
        <v>2032</v>
      </c>
    </row>
    <row r="52" spans="1:3" x14ac:dyDescent="0.25">
      <c r="A52" s="3" t="s">
        <v>2033</v>
      </c>
    </row>
    <row r="53" spans="1:3" x14ac:dyDescent="0.25">
      <c r="B53" s="4" t="s">
        <v>2034</v>
      </c>
    </row>
    <row r="54" spans="1:3" x14ac:dyDescent="0.25">
      <c r="B54" s="6" t="s">
        <v>420</v>
      </c>
      <c r="C54" s="6" t="s">
        <v>1519</v>
      </c>
    </row>
    <row r="55" spans="1:3" x14ac:dyDescent="0.25">
      <c r="B55" s="6" t="s">
        <v>2035</v>
      </c>
      <c r="C55" s="6" t="s">
        <v>2036</v>
      </c>
    </row>
    <row r="56" spans="1:3" x14ac:dyDescent="0.25">
      <c r="B56" s="6" t="s">
        <v>2037</v>
      </c>
      <c r="C56" s="6" t="s">
        <v>2038</v>
      </c>
    </row>
    <row r="59" spans="1:3" x14ac:dyDescent="0.25">
      <c r="B59" s="4" t="s">
        <v>2039</v>
      </c>
    </row>
    <row r="60" spans="1:3" x14ac:dyDescent="0.25">
      <c r="B60" s="6" t="s">
        <v>2040</v>
      </c>
      <c r="C60" s="6" t="s">
        <v>1519</v>
      </c>
    </row>
    <row r="61" spans="1:3" x14ac:dyDescent="0.25">
      <c r="B61" s="6">
        <v>0</v>
      </c>
      <c r="C61" s="6" t="s">
        <v>2041</v>
      </c>
    </row>
    <row r="62" spans="1:3" x14ac:dyDescent="0.25">
      <c r="B62" s="6">
        <v>1</v>
      </c>
      <c r="C62" s="6" t="s">
        <v>2042</v>
      </c>
    </row>
    <row r="63" spans="1:3" x14ac:dyDescent="0.25">
      <c r="B63" s="6">
        <v>2</v>
      </c>
      <c r="C63" s="6" t="s">
        <v>2043</v>
      </c>
    </row>
    <row r="65" spans="1:2" x14ac:dyDescent="0.25">
      <c r="B65" s="4" t="s">
        <v>2044</v>
      </c>
    </row>
    <row r="66" spans="1:2" x14ac:dyDescent="0.25">
      <c r="B66" s="4" t="s">
        <v>2045</v>
      </c>
    </row>
    <row r="67" spans="1:2" x14ac:dyDescent="0.25">
      <c r="B67" s="4" t="s">
        <v>2046</v>
      </c>
    </row>
    <row r="68" spans="1:2" x14ac:dyDescent="0.25">
      <c r="B68" s="4" t="s">
        <v>2047</v>
      </c>
    </row>
    <row r="69" spans="1:2" x14ac:dyDescent="0.25">
      <c r="B69" s="4" t="s">
        <v>2048</v>
      </c>
    </row>
    <row r="70" spans="1:2" x14ac:dyDescent="0.25">
      <c r="B70" s="4" t="s">
        <v>1191</v>
      </c>
    </row>
    <row r="73" spans="1:2" x14ac:dyDescent="0.25">
      <c r="A73" s="3" t="s">
        <v>2049</v>
      </c>
    </row>
    <row r="74" spans="1:2" x14ac:dyDescent="0.25">
      <c r="B74" s="4" t="s">
        <v>2050</v>
      </c>
    </row>
    <row r="75" spans="1:2" x14ac:dyDescent="0.25">
      <c r="B75" s="4" t="s">
        <v>2051</v>
      </c>
    </row>
    <row r="76" spans="1:2" x14ac:dyDescent="0.25">
      <c r="B76" s="4" t="s">
        <v>2052</v>
      </c>
    </row>
    <row r="77" spans="1:2" x14ac:dyDescent="0.25">
      <c r="B77" s="4" t="s">
        <v>2053</v>
      </c>
    </row>
    <row r="78" spans="1:2" x14ac:dyDescent="0.25">
      <c r="B78" s="4" t="s">
        <v>2054</v>
      </c>
    </row>
    <row r="81" spans="1:3" x14ac:dyDescent="0.25">
      <c r="A81" s="3" t="s">
        <v>2055</v>
      </c>
    </row>
    <row r="82" spans="1:3" x14ac:dyDescent="0.25">
      <c r="B82" s="6" t="s">
        <v>1518</v>
      </c>
      <c r="C82" s="6" t="s">
        <v>1519</v>
      </c>
    </row>
    <row r="83" spans="1:3" x14ac:dyDescent="0.25">
      <c r="B83" s="6" t="s">
        <v>1559</v>
      </c>
      <c r="C83" s="6" t="s">
        <v>2056</v>
      </c>
    </row>
    <row r="84" spans="1:3" x14ac:dyDescent="0.25">
      <c r="B84" s="6" t="s">
        <v>2057</v>
      </c>
      <c r="C84" s="6" t="s">
        <v>2058</v>
      </c>
    </row>
    <row r="85" spans="1:3" x14ac:dyDescent="0.25">
      <c r="B85" s="6" t="s">
        <v>2059</v>
      </c>
      <c r="C85" s="6" t="s">
        <v>2060</v>
      </c>
    </row>
    <row r="86" spans="1:3" x14ac:dyDescent="0.25">
      <c r="B86" s="6" t="s">
        <v>2061</v>
      </c>
      <c r="C86" s="6" t="s">
        <v>2062</v>
      </c>
    </row>
    <row r="87" spans="1:3" x14ac:dyDescent="0.25">
      <c r="B87" s="6" t="s">
        <v>2063</v>
      </c>
      <c r="C87" s="6" t="s">
        <v>2064</v>
      </c>
    </row>
    <row r="88" spans="1:3" x14ac:dyDescent="0.25">
      <c r="B88" s="6" t="s">
        <v>2040</v>
      </c>
      <c r="C88" s="6" t="s">
        <v>2065</v>
      </c>
    </row>
    <row r="89" spans="1:3" x14ac:dyDescent="0.25">
      <c r="B89" s="6" t="s">
        <v>2066</v>
      </c>
      <c r="C89" s="6" t="s">
        <v>2067</v>
      </c>
    </row>
  </sheetData>
  <phoneticPr fontId="1"/>
  <pageMargins left="0.75" right="0.35" top="1" bottom="1" header="0.51200000000000001" footer="0.51200000000000001"/>
  <pageSetup paperSize="9" scale="80"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4935-147F-43D7-A000-524AC9A56320}">
  <dimension ref="A1:G85"/>
  <sheetViews>
    <sheetView topLeftCell="A66" zoomScaleNormal="100" workbookViewId="0">
      <selection activeCell="J97" sqref="J97"/>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t="s">
        <v>2069</v>
      </c>
      <c r="B1" s="4"/>
      <c r="C1" s="4"/>
      <c r="D1" s="4"/>
      <c r="E1" s="4"/>
      <c r="F1" s="5"/>
    </row>
    <row r="3" spans="1:6" x14ac:dyDescent="0.25">
      <c r="A3" s="3" t="s">
        <v>2070</v>
      </c>
    </row>
    <row r="4" spans="1:6" x14ac:dyDescent="0.25">
      <c r="B4" s="4" t="s">
        <v>2071</v>
      </c>
    </row>
    <row r="5" spans="1:6" x14ac:dyDescent="0.25">
      <c r="B5" s="4" t="s">
        <v>2072</v>
      </c>
    </row>
    <row r="6" spans="1:6" x14ac:dyDescent="0.25">
      <c r="B6" s="4" t="s">
        <v>2073</v>
      </c>
    </row>
    <row r="7" spans="1:6" x14ac:dyDescent="0.25">
      <c r="B7" s="4" t="s">
        <v>2074</v>
      </c>
    </row>
    <row r="8" spans="1:6" x14ac:dyDescent="0.25">
      <c r="B8" s="4" t="s">
        <v>2075</v>
      </c>
    </row>
    <row r="11" spans="1:6" x14ac:dyDescent="0.25">
      <c r="A11" s="3" t="s">
        <v>1677</v>
      </c>
    </row>
    <row r="12" spans="1:6" x14ac:dyDescent="0.25">
      <c r="B12" s="4" t="s">
        <v>2076</v>
      </c>
    </row>
    <row r="13" spans="1:6" x14ac:dyDescent="0.25">
      <c r="B13" s="6" t="s">
        <v>257</v>
      </c>
      <c r="C13" s="6" t="s">
        <v>2080</v>
      </c>
      <c r="D13" s="6" t="s">
        <v>2081</v>
      </c>
      <c r="E13" s="6" t="s">
        <v>2082</v>
      </c>
    </row>
    <row r="15" spans="1:6" x14ac:dyDescent="0.25">
      <c r="B15" s="4" t="s">
        <v>2077</v>
      </c>
    </row>
    <row r="16" spans="1:6" x14ac:dyDescent="0.25">
      <c r="B16" s="6" t="s">
        <v>507</v>
      </c>
      <c r="C16" s="6" t="s">
        <v>2083</v>
      </c>
      <c r="D16" s="6" t="s">
        <v>2084</v>
      </c>
    </row>
    <row r="18" spans="1:5" x14ac:dyDescent="0.25">
      <c r="B18" s="4" t="s">
        <v>2078</v>
      </c>
    </row>
    <row r="19" spans="1:5" x14ac:dyDescent="0.25">
      <c r="B19" s="4" t="s">
        <v>2079</v>
      </c>
    </row>
    <row r="22" spans="1:5" x14ac:dyDescent="0.25">
      <c r="A22" s="3" t="s">
        <v>2085</v>
      </c>
    </row>
    <row r="23" spans="1:5" x14ac:dyDescent="0.25">
      <c r="B23" s="6" t="s">
        <v>257</v>
      </c>
      <c r="C23" s="6" t="s">
        <v>2086</v>
      </c>
      <c r="D23" s="6" t="s">
        <v>2087</v>
      </c>
      <c r="E23" s="6" t="s">
        <v>2088</v>
      </c>
    </row>
    <row r="24" spans="1:5" x14ac:dyDescent="0.25">
      <c r="B24" s="6" t="s">
        <v>507</v>
      </c>
      <c r="C24" s="6" t="s">
        <v>2089</v>
      </c>
      <c r="D24" s="6">
        <v>1</v>
      </c>
      <c r="E24" s="6"/>
    </row>
    <row r="25" spans="1:5" x14ac:dyDescent="0.25">
      <c r="B25" s="6" t="s">
        <v>507</v>
      </c>
      <c r="C25" s="6" t="s">
        <v>2090</v>
      </c>
      <c r="D25" s="6">
        <v>5</v>
      </c>
      <c r="E25" s="6"/>
    </row>
    <row r="26" spans="1:5" x14ac:dyDescent="0.25">
      <c r="B26" s="6" t="s">
        <v>507</v>
      </c>
      <c r="C26" s="6" t="s">
        <v>2091</v>
      </c>
      <c r="D26" s="6">
        <v>2</v>
      </c>
      <c r="E26" s="6"/>
    </row>
    <row r="27" spans="1:5" x14ac:dyDescent="0.25">
      <c r="B27" s="6" t="s">
        <v>507</v>
      </c>
      <c r="C27" s="6" t="s">
        <v>2092</v>
      </c>
      <c r="D27" s="6">
        <v>8</v>
      </c>
      <c r="E27" s="6"/>
    </row>
    <row r="28" spans="1:5" x14ac:dyDescent="0.25">
      <c r="B28" s="6" t="s">
        <v>507</v>
      </c>
      <c r="C28" s="6" t="s">
        <v>2093</v>
      </c>
      <c r="D28" s="6">
        <v>8</v>
      </c>
      <c r="E28" s="6"/>
    </row>
    <row r="29" spans="1:5" x14ac:dyDescent="0.25">
      <c r="B29" s="6" t="s">
        <v>507</v>
      </c>
      <c r="C29" s="6" t="s">
        <v>2094</v>
      </c>
      <c r="D29" s="6">
        <v>1</v>
      </c>
      <c r="E29" s="6"/>
    </row>
    <row r="32" spans="1:5" x14ac:dyDescent="0.25">
      <c r="A32" s="3" t="s">
        <v>2095</v>
      </c>
    </row>
    <row r="33" spans="2:2" x14ac:dyDescent="0.25">
      <c r="B33" s="4" t="s">
        <v>2097</v>
      </c>
    </row>
    <row r="34" spans="2:2" x14ac:dyDescent="0.25">
      <c r="B34" s="4" t="s">
        <v>2096</v>
      </c>
    </row>
    <row r="35" spans="2:2" x14ac:dyDescent="0.25">
      <c r="B35" s="4" t="s">
        <v>2098</v>
      </c>
    </row>
    <row r="37" spans="2:2" x14ac:dyDescent="0.25">
      <c r="B37" s="4" t="s">
        <v>2099</v>
      </c>
    </row>
    <row r="38" spans="2:2" x14ac:dyDescent="0.25">
      <c r="B38" s="4" t="s">
        <v>2100</v>
      </c>
    </row>
    <row r="40" spans="2:2" x14ac:dyDescent="0.25">
      <c r="B40" s="4" t="s">
        <v>2101</v>
      </c>
    </row>
    <row r="41" spans="2:2" x14ac:dyDescent="0.25">
      <c r="B41" s="4" t="s">
        <v>2102</v>
      </c>
    </row>
    <row r="42" spans="2:2" x14ac:dyDescent="0.25">
      <c r="B42" s="4" t="s">
        <v>2103</v>
      </c>
    </row>
    <row r="43" spans="2:2" x14ac:dyDescent="0.25">
      <c r="B43" s="4" t="s">
        <v>2104</v>
      </c>
    </row>
    <row r="44" spans="2:2" x14ac:dyDescent="0.25">
      <c r="B44" s="4" t="s">
        <v>2105</v>
      </c>
    </row>
    <row r="45" spans="2:2" x14ac:dyDescent="0.25">
      <c r="B45" s="4" t="s">
        <v>2106</v>
      </c>
    </row>
    <row r="46" spans="2:2" x14ac:dyDescent="0.25">
      <c r="B46" s="4" t="s">
        <v>2107</v>
      </c>
    </row>
    <row r="48" spans="2:2" x14ac:dyDescent="0.25">
      <c r="B48" s="4" t="s">
        <v>2108</v>
      </c>
    </row>
    <row r="49" spans="1:6" x14ac:dyDescent="0.25">
      <c r="B49" s="4" t="s">
        <v>2045</v>
      </c>
    </row>
    <row r="50" spans="1:6" x14ac:dyDescent="0.25">
      <c r="B50" s="4" t="s">
        <v>1371</v>
      </c>
    </row>
    <row r="51" spans="1:6" x14ac:dyDescent="0.25">
      <c r="B51" s="4" t="s">
        <v>2109</v>
      </c>
    </row>
    <row r="52" spans="1:6" x14ac:dyDescent="0.25">
      <c r="B52" s="4" t="s">
        <v>1191</v>
      </c>
    </row>
    <row r="54" spans="1:6" x14ac:dyDescent="0.25">
      <c r="B54" s="4" t="s">
        <v>2110</v>
      </c>
    </row>
    <row r="55" spans="1:6" x14ac:dyDescent="0.25">
      <c r="B55" s="4" t="s">
        <v>2111</v>
      </c>
    </row>
    <row r="58" spans="1:6" x14ac:dyDescent="0.25">
      <c r="A58" s="3" t="s">
        <v>2112</v>
      </c>
    </row>
    <row r="59" spans="1:6" x14ac:dyDescent="0.25">
      <c r="B59" s="11" t="s">
        <v>1372</v>
      </c>
      <c r="C59" s="11" t="s">
        <v>1373</v>
      </c>
      <c r="D59" s="11" t="s">
        <v>31</v>
      </c>
      <c r="E59" s="11"/>
      <c r="F59" s="11"/>
    </row>
    <row r="60" spans="1:6" x14ac:dyDescent="0.25">
      <c r="B60" s="11" t="s">
        <v>53</v>
      </c>
      <c r="C60" s="11" t="s">
        <v>554</v>
      </c>
      <c r="D60" s="11"/>
      <c r="E60" s="11"/>
      <c r="F60" s="11"/>
    </row>
    <row r="61" spans="1:6" x14ac:dyDescent="0.25">
      <c r="B61" s="11" t="s">
        <v>13</v>
      </c>
      <c r="C61" s="11" t="s">
        <v>1374</v>
      </c>
      <c r="D61" s="11" t="s">
        <v>1375</v>
      </c>
      <c r="E61" s="11" t="s">
        <v>1376</v>
      </c>
      <c r="F61" s="11"/>
    </row>
    <row r="62" spans="1:6" x14ac:dyDescent="0.25">
      <c r="B62" s="11" t="s">
        <v>13</v>
      </c>
      <c r="C62" s="11" t="s">
        <v>1377</v>
      </c>
      <c r="D62" s="11" t="s">
        <v>1375</v>
      </c>
      <c r="E62" s="11" t="s">
        <v>1378</v>
      </c>
      <c r="F62" s="11"/>
    </row>
    <row r="63" spans="1:6" x14ac:dyDescent="0.25">
      <c r="B63" s="11" t="s">
        <v>13</v>
      </c>
      <c r="C63" s="11" t="s">
        <v>1379</v>
      </c>
      <c r="D63" s="11" t="s">
        <v>1375</v>
      </c>
      <c r="E63" s="11" t="s">
        <v>1380</v>
      </c>
      <c r="F63" s="11"/>
    </row>
    <row r="64" spans="1:6" x14ac:dyDescent="0.25">
      <c r="B64" s="11" t="s">
        <v>13</v>
      </c>
      <c r="C64" s="11" t="s">
        <v>1381</v>
      </c>
      <c r="D64" s="11" t="s">
        <v>1375</v>
      </c>
      <c r="E64" s="11" t="s">
        <v>1382</v>
      </c>
      <c r="F64" s="11"/>
    </row>
    <row r="65" spans="1:7" x14ac:dyDescent="0.25">
      <c r="B65" s="11" t="s">
        <v>13</v>
      </c>
      <c r="C65" s="11" t="s">
        <v>1383</v>
      </c>
      <c r="D65" s="11" t="s">
        <v>1375</v>
      </c>
      <c r="E65" s="11" t="s">
        <v>1384</v>
      </c>
      <c r="F65" s="11"/>
    </row>
    <row r="66" spans="1:7" x14ac:dyDescent="0.25">
      <c r="B66" s="11" t="s">
        <v>13</v>
      </c>
      <c r="C66" s="11" t="s">
        <v>1385</v>
      </c>
      <c r="D66" s="11" t="s">
        <v>1375</v>
      </c>
      <c r="E66" s="11" t="s">
        <v>1386</v>
      </c>
      <c r="F66" s="11"/>
    </row>
    <row r="67" spans="1:7" x14ac:dyDescent="0.25">
      <c r="B67" s="11" t="s">
        <v>13</v>
      </c>
      <c r="C67" s="11" t="s">
        <v>34</v>
      </c>
      <c r="D67" s="11" t="s">
        <v>1375</v>
      </c>
      <c r="E67" s="11" t="s">
        <v>1274</v>
      </c>
      <c r="F67" s="11" t="s">
        <v>1338</v>
      </c>
    </row>
    <row r="68" spans="1:7" x14ac:dyDescent="0.25">
      <c r="B68" s="87" t="s">
        <v>125</v>
      </c>
      <c r="C68" s="87" t="s">
        <v>1387</v>
      </c>
      <c r="D68" s="87"/>
      <c r="E68" s="87"/>
      <c r="F68" s="87"/>
      <c r="G68" s="95" t="s">
        <v>2068</v>
      </c>
    </row>
    <row r="69" spans="1:7" x14ac:dyDescent="0.25">
      <c r="B69" s="11" t="s">
        <v>10</v>
      </c>
      <c r="C69" s="11" t="s">
        <v>148</v>
      </c>
      <c r="D69" s="11"/>
      <c r="E69" s="11"/>
      <c r="F69" s="11"/>
    </row>
    <row r="70" spans="1:7" x14ac:dyDescent="0.25">
      <c r="B70" s="11" t="s">
        <v>53</v>
      </c>
      <c r="C70" s="11" t="s">
        <v>148</v>
      </c>
      <c r="D70" s="11"/>
      <c r="E70" s="11"/>
      <c r="F70" s="11"/>
    </row>
    <row r="71" spans="1:7" x14ac:dyDescent="0.25">
      <c r="B71" s="11" t="s">
        <v>10</v>
      </c>
      <c r="C71" s="11" t="s">
        <v>554</v>
      </c>
      <c r="D71" s="11"/>
      <c r="E71" s="11"/>
      <c r="F71" s="11"/>
    </row>
    <row r="74" spans="1:7" x14ac:dyDescent="0.25">
      <c r="A74" s="3" t="s">
        <v>2113</v>
      </c>
    </row>
    <row r="75" spans="1:7" x14ac:dyDescent="0.25">
      <c r="B75" s="4" t="s">
        <v>2114</v>
      </c>
    </row>
    <row r="76" spans="1:7" x14ac:dyDescent="0.25">
      <c r="B76" s="4" t="s">
        <v>2115</v>
      </c>
    </row>
    <row r="77" spans="1:7" x14ac:dyDescent="0.25">
      <c r="B77" s="4" t="s">
        <v>2116</v>
      </c>
    </row>
    <row r="78" spans="1:7" x14ac:dyDescent="0.25">
      <c r="B78" s="4" t="s">
        <v>2117</v>
      </c>
    </row>
    <row r="79" spans="1:7" x14ac:dyDescent="0.25">
      <c r="B79" s="4" t="s">
        <v>2118</v>
      </c>
    </row>
    <row r="82" spans="1:2" x14ac:dyDescent="0.25">
      <c r="A82" s="3" t="s">
        <v>2119</v>
      </c>
    </row>
    <row r="83" spans="1:2" x14ac:dyDescent="0.25">
      <c r="B83" s="4" t="s">
        <v>2120</v>
      </c>
    </row>
    <row r="84" spans="1:2" x14ac:dyDescent="0.25">
      <c r="B84" s="4" t="s">
        <v>2121</v>
      </c>
    </row>
    <row r="85" spans="1:2" x14ac:dyDescent="0.25">
      <c r="B85" s="4" t="s">
        <v>2122</v>
      </c>
    </row>
  </sheetData>
  <phoneticPr fontId="1"/>
  <pageMargins left="0.75" right="0.35" top="1" bottom="1" header="0.51200000000000001" footer="0.51200000000000001"/>
  <pageSetup paperSize="9" scale="8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DD87-441C-45E1-A53B-4B23BE47FAEB}">
  <dimension ref="A1:F1"/>
  <sheetViews>
    <sheetView zoomScaleNormal="100" workbookViewId="0"/>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c r="B1" s="4"/>
      <c r="C1" s="4"/>
      <c r="D1" s="4"/>
      <c r="E1" s="4"/>
      <c r="F1" s="5"/>
    </row>
  </sheetData>
  <phoneticPr fontId="1"/>
  <pageMargins left="0.75" right="0.35" top="1" bottom="1" header="0.51200000000000001" footer="0.51200000000000001"/>
  <pageSetup paperSize="9"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26</vt:i4>
      </vt:variant>
    </vt:vector>
  </HeadingPairs>
  <TitlesOfParts>
    <vt:vector size="26" baseType="lpstr">
      <vt:lpstr>目次</vt:lpstr>
      <vt:lpstr>概要</vt:lpstr>
      <vt:lpstr>コマンドリファレンス</vt:lpstr>
      <vt:lpstr>サンプル</vt:lpstr>
      <vt:lpstr>エラーメッセージ</vt:lpstr>
      <vt:lpstr>定義</vt:lpstr>
      <vt:lpstr>構造記述</vt:lpstr>
      <vt:lpstr>モジュール間接続</vt:lpstr>
      <vt:lpstr>タスク、関数</vt:lpstr>
      <vt:lpstr>直書き</vt:lpstr>
      <vt:lpstr>クロック</vt:lpstr>
      <vt:lpstr>ステートマシン(RTL)</vt:lpstr>
      <vt:lpstr>レジスタのANDOR化</vt:lpstr>
      <vt:lpstr>継続的代入</vt:lpstr>
      <vt:lpstr>ワイヤレジスタ</vt:lpstr>
      <vt:lpstr>メモリ定義</vt:lpstr>
      <vt:lpstr>レジスタ動作の追加</vt:lpstr>
      <vt:lpstr>パイプライン</vt:lpstr>
      <vt:lpstr>ステートマシン(テストベンチ用)</vt:lpstr>
      <vt:lpstr>スケジューリングコマンド(テストベンチ用)</vt:lpstr>
      <vt:lpstr>パラメータ_FIFO(テストベンチ用)</vt:lpstr>
      <vt:lpstr>周期タスク(テストベンチ用)</vt:lpstr>
      <vt:lpstr>モジュール間通信(テストベンチ用)</vt:lpstr>
      <vt:lpstr>ファンクションカバレッジ</vt:lpstr>
      <vt:lpstr>ファイルリード(テストベンチ用)</vt:lpstr>
      <vt:lpstr>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滋 粕谷</cp:lastModifiedBy>
  <cp:lastPrinted>2026-08-23T13:38:56Z</cp:lastPrinted>
  <dcterms:created xsi:type="dcterms:W3CDTF">1997-01-08T22:48:59Z</dcterms:created>
  <dcterms:modified xsi:type="dcterms:W3CDTF">2026-09-06T07:11:26Z</dcterms:modified>
</cp:coreProperties>
</file>