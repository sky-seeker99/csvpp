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md" sheetId="1" state="visible" r:id="rId3"/>
    <sheet name="model2" sheetId="2" state="visible" r:id="rId4"/>
    <sheet name="model" sheetId="3" state="visible" r:id="rId5"/>
    <sheet name="cover" sheetId="4" state="visible" r:id="rId6"/>
    <sheet name="clk" sheetId="5" state="visible" r:id="rId7"/>
    <sheet name="main" sheetId="6" state="visible" r:id="rId8"/>
    <sheet name="test" sheetId="7" state="visible" r:id="rId9"/>
    <sheet name="test_port" sheetId="8" state="visible" r:id="rId10"/>
    <sheet name="top" sheetId="9" state="visible" r:id="rId11"/>
    <sheet name="csvveri_C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<sst xmlns="http://schemas.openxmlformats.org/spreadsheetml/2006/main" count="1113" uniqueCount="399">
  <si>
    <t xml:space="preserve">%include</t>
  </si>
  <si>
    <t xml:space="preserve">csvveri_C.csv</t>
  </si>
  <si>
    <t xml:space="preserve">%classcall</t>
  </si>
  <si>
    <t xml:space="preserve">csvveri_C</t>
  </si>
  <si>
    <t xml:space="preserve">csvveri</t>
  </si>
  <si>
    <t xml:space="preserve">%exec</t>
  </si>
  <si>
    <t xml:space="preserve">del c:\csv\*.v</t>
  </si>
  <si>
    <t xml:space="preserve">%shell</t>
  </si>
  <si>
    <t xml:space="preserve">csvveri.exe</t>
  </si>
  <si>
    <r>
      <rPr>
        <sz val="9"/>
        <rFont val="Meiryo UI"/>
        <family val="3"/>
        <charset val="1"/>
      </rPr>
      <t xml:space="preserve">/</t>
    </r>
    <r>
      <rPr>
        <sz val="11"/>
        <rFont val="ＭＳ Ｐゴシック"/>
        <family val="0"/>
      </rPr>
      <t xml:space="preserve">/</t>
    </r>
  </si>
  <si>
    <r>
      <rPr>
        <sz val="9"/>
        <rFont val="Meiryo UI"/>
        <family val="3"/>
        <charset val="1"/>
      </rPr>
      <t xml:space="preserve">m</t>
    </r>
    <r>
      <rPr>
        <sz val="11"/>
        <rFont val="ＭＳ Ｐゴシック"/>
        <family val="0"/>
      </rPr>
      <t xml:space="preserve">odel</t>
    </r>
  </si>
  <si>
    <t xml:space="preserve">c:\csv</t>
  </si>
  <si>
    <r>
      <rPr>
        <sz val="9"/>
        <rFont val="Meiryo UI"/>
        <family val="3"/>
        <charset val="1"/>
      </rPr>
      <t xml:space="preserve">m</t>
    </r>
    <r>
      <rPr>
        <sz val="11"/>
        <rFont val="ＭＳ Ｐゴシック"/>
        <family val="0"/>
      </rPr>
      <t xml:space="preserve">odel2</t>
    </r>
  </si>
  <si>
    <r>
      <rPr>
        <sz val="9"/>
        <rFont val="Meiryo UI"/>
        <family val="3"/>
        <charset val="1"/>
      </rPr>
      <t xml:space="preserve">m</t>
    </r>
    <r>
      <rPr>
        <sz val="11"/>
        <rFont val="ＭＳ Ｐゴシック"/>
        <family val="0"/>
      </rPr>
      <t xml:space="preserve">ain</t>
    </r>
  </si>
  <si>
    <t xml:space="preserve">main.csv</t>
  </si>
  <si>
    <r>
      <rPr>
        <sz val="9"/>
        <rFont val="Meiryo UI"/>
        <family val="3"/>
        <charset val="1"/>
      </rPr>
      <t xml:space="preserve">c</t>
    </r>
    <r>
      <rPr>
        <sz val="11"/>
        <rFont val="ＭＳ Ｐゴシック"/>
        <family val="0"/>
      </rPr>
      <t xml:space="preserve">lk</t>
    </r>
  </si>
  <si>
    <t xml:space="preserve">clk.csv</t>
  </si>
  <si>
    <r>
      <rPr>
        <sz val="9"/>
        <rFont val="Meiryo UI"/>
        <family val="3"/>
        <charset val="1"/>
      </rPr>
      <t xml:space="preserve">t</t>
    </r>
    <r>
      <rPr>
        <sz val="11"/>
        <rFont val="ＭＳ Ｐゴシック"/>
        <family val="0"/>
      </rPr>
      <t xml:space="preserve">est</t>
    </r>
  </si>
  <si>
    <t xml:space="preserve">test.csv</t>
  </si>
  <si>
    <r>
      <rPr>
        <sz val="9"/>
        <rFont val="Meiryo UI"/>
        <family val="3"/>
        <charset val="1"/>
      </rPr>
      <t xml:space="preserve">t</t>
    </r>
    <r>
      <rPr>
        <sz val="11"/>
        <rFont val="ＭＳ Ｐゴシック"/>
        <family val="0"/>
      </rPr>
      <t xml:space="preserve">op</t>
    </r>
  </si>
  <si>
    <t xml:space="preserve">top.csv</t>
  </si>
  <si>
    <r>
      <rPr>
        <sz val="9"/>
        <rFont val="Meiryo UI"/>
        <family val="3"/>
        <charset val="1"/>
      </rPr>
      <t xml:space="preserve">c</t>
    </r>
    <r>
      <rPr>
        <sz val="11"/>
        <rFont val="ＭＳ Ｐゴシック"/>
        <family val="0"/>
      </rPr>
      <t xml:space="preserve">over</t>
    </r>
  </si>
  <si>
    <t xml:space="preserve">cover.csv</t>
  </si>
  <si>
    <t xml:space="preserve">#module</t>
  </si>
  <si>
    <t xml:space="preserve">%header</t>
  </si>
  <si>
    <r>
      <rPr>
        <sz val="9"/>
        <rFont val="Meiryo UI"/>
        <family val="3"/>
        <charset val="1"/>
      </rPr>
      <t xml:space="preserve">s</t>
    </r>
    <r>
      <rPr>
        <sz val="11"/>
        <rFont val="ＭＳ Ｐゴシック"/>
        <family val="0"/>
      </rPr>
      <t xml:space="preserve">ample model</t>
    </r>
  </si>
  <si>
    <r>
      <rPr>
        <sz val="9"/>
        <rFont val="Meiryo UI"/>
        <family val="3"/>
        <charset val="1"/>
      </rPr>
      <t xml:space="preserve">1</t>
    </r>
    <r>
      <rPr>
        <sz val="11"/>
        <rFont val="ＭＳ Ｐゴシック"/>
        <family val="0"/>
      </rPr>
      <t xml:space="preserve">.00</t>
    </r>
  </si>
  <si>
    <r>
      <rPr>
        <sz val="9"/>
        <rFont val="Meiryo UI"/>
        <family val="3"/>
        <charset val="1"/>
      </rPr>
      <t xml:space="preserve">S</t>
    </r>
    <r>
      <rPr>
        <sz val="11"/>
        <rFont val="ＭＳ Ｐゴシック"/>
        <family val="0"/>
      </rPr>
      <t xml:space="preserve">.Kasuya</t>
    </r>
  </si>
  <si>
    <t xml:space="preserve">#wire</t>
  </si>
  <si>
    <t xml:space="preserve">rst</t>
  </si>
  <si>
    <t xml:space="preserve">1</t>
  </si>
  <si>
    <t xml:space="preserve">#reg</t>
  </si>
  <si>
    <t xml:space="preserve">pp</t>
  </si>
  <si>
    <t xml:space="preserve">clk</t>
  </si>
  <si>
    <t xml:space="preserve">@rst:1'b0</t>
  </si>
  <si>
    <t xml:space="preserve">-:1'b0</t>
  </si>
  <si>
    <t xml:space="preserve">so</t>
  </si>
  <si>
    <t xml:space="preserve">oe</t>
  </si>
  <si>
    <t xml:space="preserve">aa</t>
  </si>
  <si>
    <t xml:space="preserve">32</t>
  </si>
  <si>
    <t xml:space="preserve">@rst:32'h0</t>
  </si>
  <si>
    <t xml:space="preserve">out</t>
  </si>
  <si>
    <t xml:space="preserve">dd</t>
  </si>
  <si>
    <t xml:space="preserve">#rstatus</t>
  </si>
  <si>
    <t xml:space="preserve">aaa</t>
  </si>
  <si>
    <t xml:space="preserve">@rst</t>
  </si>
  <si>
    <t xml:space="preserve">#st</t>
  </si>
  <si>
    <t xml:space="preserve">idle</t>
  </si>
  <si>
    <t xml:space="preserve">#if</t>
  </si>
  <si>
    <t xml:space="preserve">ans &amp; rdy</t>
  </si>
  <si>
    <t xml:space="preserve">(cmd  == ABC) || (cmd == DEF)</t>
  </si>
  <si>
    <t xml:space="preserve">wr == 1'b0</t>
  </si>
  <si>
    <t xml:space="preserve">#cmd</t>
  </si>
  <si>
    <t xml:space="preserve">oe = 1'b0</t>
  </si>
  <si>
    <t xml:space="preserve">#xelse</t>
  </si>
  <si>
    <t xml:space="preserve">#</t>
  </si>
  <si>
    <t xml:space="preserve">oe = 1'b1</t>
  </si>
  <si>
    <t xml:space="preserve">#chg</t>
  </si>
  <si>
    <t xml:space="preserve">0:1'b1</t>
  </si>
  <si>
    <t xml:space="preserve">2:1'b0</t>
  </si>
  <si>
    <t xml:space="preserve">0:aa = ai;</t>
  </si>
  <si>
    <t xml:space="preserve">3:aa = 32'h0;</t>
  </si>
  <si>
    <t xml:space="preserve">#go</t>
  </si>
  <si>
    <t xml:space="preserve">wait</t>
  </si>
  <si>
    <t xml:space="preserve">#else</t>
  </si>
  <si>
    <t xml:space="preserve">oe = 1'b0;</t>
  </si>
  <si>
    <t xml:space="preserve">#pull</t>
  </si>
  <si>
    <t xml:space="preserve">#endif</t>
  </si>
  <si>
    <t xml:space="preserve">rec_i</t>
  </si>
  <si>
    <t xml:space="preserve">0:di</t>
  </si>
  <si>
    <t xml:space="preserve">1:'h320</t>
  </si>
  <si>
    <t xml:space="preserve">pp = 1'b1;</t>
  </si>
  <si>
    <t xml:space="preserve">//</t>
  </si>
  <si>
    <t xml:space="preserve">リセット、クロック</t>
  </si>
  <si>
    <t xml:space="preserve">%port</t>
  </si>
  <si>
    <t xml:space="preserve">input</t>
  </si>
  <si>
    <t xml:space="preserve">クロック</t>
  </si>
  <si>
    <r>
      <rPr>
        <sz val="9"/>
        <rFont val="Meiryo UI"/>
        <family val="3"/>
        <charset val="1"/>
      </rPr>
      <t xml:space="preserve">r</t>
    </r>
    <r>
      <rPr>
        <sz val="11"/>
        <rFont val="ＭＳ Ｐゴシック"/>
        <family val="0"/>
      </rPr>
      <t xml:space="preserve">eset_n</t>
    </r>
  </si>
  <si>
    <t xml:space="preserve">リセット</t>
  </si>
  <si>
    <r>
      <rPr>
        <sz val="9"/>
        <rFont val="Meiryo UI"/>
        <family val="3"/>
        <charset val="1"/>
      </rPr>
      <t xml:space="preserve">A</t>
    </r>
    <r>
      <rPr>
        <sz val="11"/>
        <rFont val="ＭＳ Ｐゴシック"/>
        <family val="0"/>
      </rPr>
      <t xml:space="preserve"> Side Interface</t>
    </r>
  </si>
  <si>
    <t xml:space="preserve">cs</t>
  </si>
  <si>
    <t xml:space="preserve">セレクト</t>
  </si>
  <si>
    <t xml:space="preserve">ad</t>
  </si>
  <si>
    <t xml:space="preserve">アドレス／データ</t>
  </si>
  <si>
    <t xml:space="preserve">ack</t>
  </si>
  <si>
    <r>
      <rPr>
        <sz val="9"/>
        <rFont val="Meiryo UI"/>
        <family val="3"/>
        <charset val="1"/>
      </rPr>
      <t xml:space="preserve">o</t>
    </r>
    <r>
      <rPr>
        <sz val="11"/>
        <rFont val="ＭＳ Ｐゴシック"/>
        <family val="0"/>
      </rPr>
      <t xml:space="preserve">utput</t>
    </r>
  </si>
  <si>
    <t xml:space="preserve">reg</t>
  </si>
  <si>
    <r>
      <rPr>
        <sz val="9"/>
        <rFont val="Meiryo UI"/>
        <family val="3"/>
        <charset val="1"/>
      </rPr>
      <t xml:space="preserve">@~reset_n:1'b</t>
    </r>
    <r>
      <rPr>
        <sz val="11"/>
        <rFont val="ＭＳ Ｐゴシック"/>
        <family val="0"/>
      </rPr>
      <t xml:space="preserve">1</t>
    </r>
  </si>
  <si>
    <t xml:space="preserve">応答</t>
  </si>
  <si>
    <t xml:space="preserve">B Side Interface</t>
  </si>
  <si>
    <t xml:space="preserve">cs_o</t>
  </si>
  <si>
    <t xml:space="preserve">add</t>
  </si>
  <si>
    <r>
      <rPr>
        <sz val="9"/>
        <rFont val="Meiryo UI"/>
        <family val="3"/>
        <charset val="1"/>
      </rPr>
      <t xml:space="preserve">3</t>
    </r>
    <r>
      <rPr>
        <sz val="11"/>
        <rFont val="ＭＳ Ｐゴシック"/>
        <family val="0"/>
      </rPr>
      <t xml:space="preserve">2</t>
    </r>
  </si>
  <si>
    <r>
      <rPr>
        <sz val="9"/>
        <rFont val="Meiryo UI"/>
        <family val="3"/>
        <charset val="1"/>
      </rPr>
      <t xml:space="preserve">@</t>
    </r>
    <r>
      <rPr>
        <sz val="11"/>
        <rFont val="ＭＳ Ｐゴシック"/>
        <family val="0"/>
      </rPr>
      <t xml:space="preserve">~reset_n:32'b0</t>
    </r>
  </si>
  <si>
    <t xml:space="preserve">アドレス</t>
  </si>
  <si>
    <t xml:space="preserve">data</t>
  </si>
  <si>
    <t xml:space="preserve">-:32'hxxxxxxxx</t>
  </si>
  <si>
    <t xml:space="preserve">データ</t>
  </si>
  <si>
    <t xml:space="preserve">ack_i</t>
  </si>
  <si>
    <r>
      <rPr>
        <sz val="9"/>
        <rFont val="Meiryo UI"/>
        <family val="3"/>
        <charset val="1"/>
      </rPr>
      <t xml:space="preserve">i</t>
    </r>
    <r>
      <rPr>
        <sz val="11"/>
        <rFont val="ＭＳ Ｐゴシック"/>
        <family val="0"/>
      </rPr>
      <t xml:space="preserve">nput</t>
    </r>
  </si>
  <si>
    <t xml:space="preserve">レジスタ</t>
  </si>
  <si>
    <t xml:space="preserve">add_fp</t>
  </si>
  <si>
    <t xml:space="preserve">r</t>
  </si>
  <si>
    <t xml:space="preserve">-:add_fp</t>
  </si>
  <si>
    <r>
      <rPr>
        <sz val="9"/>
        <rFont val="Meiryo UI"/>
        <family val="3"/>
        <charset val="1"/>
      </rPr>
      <t xml:space="preserve">#</t>
    </r>
    <r>
      <rPr>
        <sz val="11"/>
        <rFont val="ＭＳ Ｐゴシック"/>
        <family val="0"/>
      </rPr>
      <t xml:space="preserve">rstatus</t>
    </r>
  </si>
  <si>
    <r>
      <rPr>
        <sz val="9"/>
        <rFont val="Meiryo UI"/>
        <family val="3"/>
        <charset val="1"/>
      </rPr>
      <t xml:space="preserve">s</t>
    </r>
    <r>
      <rPr>
        <sz val="11"/>
        <rFont val="ＭＳ Ｐゴシック"/>
        <family val="0"/>
      </rPr>
      <t xml:space="preserve">ample</t>
    </r>
  </si>
  <si>
    <r>
      <rPr>
        <sz val="9"/>
        <rFont val="Meiryo UI"/>
        <family val="3"/>
        <charset val="1"/>
      </rPr>
      <t xml:space="preserve">@~</t>
    </r>
    <r>
      <rPr>
        <sz val="11"/>
        <rFont val="ＭＳ Ｐゴシック"/>
        <family val="0"/>
      </rPr>
      <t xml:space="preserve">reset_n</t>
    </r>
  </si>
  <si>
    <r>
      <rPr>
        <sz val="9"/>
        <rFont val="Meiryo UI"/>
        <family val="3"/>
        <charset val="1"/>
      </rPr>
      <t xml:space="preserve">i</t>
    </r>
    <r>
      <rPr>
        <sz val="11"/>
        <rFont val="ＭＳ Ｐゴシック"/>
        <family val="0"/>
      </rPr>
      <t xml:space="preserve">dle</t>
    </r>
  </si>
  <si>
    <r>
      <rPr>
        <sz val="9"/>
        <rFont val="Meiryo UI"/>
        <family val="3"/>
        <charset val="1"/>
      </rPr>
      <t xml:space="preserve">~</t>
    </r>
    <r>
      <rPr>
        <sz val="11"/>
        <rFont val="ＭＳ Ｐゴシック"/>
        <family val="0"/>
      </rPr>
      <t xml:space="preserve">cs</t>
    </r>
  </si>
  <si>
    <r>
      <rPr>
        <sz val="9"/>
        <rFont val="Meiryo UI"/>
        <family val="3"/>
        <charset val="1"/>
      </rPr>
      <t xml:space="preserve">#</t>
    </r>
    <r>
      <rPr>
        <sz val="11"/>
        <rFont val="ＭＳ Ｐゴシック"/>
        <family val="0"/>
      </rPr>
      <t xml:space="preserve">cmd</t>
    </r>
  </si>
  <si>
    <r>
      <rPr>
        <sz val="9"/>
        <rFont val="Meiryo UI"/>
        <family val="3"/>
        <charset val="1"/>
      </rPr>
      <t xml:space="preserve">a</t>
    </r>
    <r>
      <rPr>
        <sz val="11"/>
        <rFont val="ＭＳ Ｐゴシック"/>
        <family val="0"/>
      </rPr>
      <t xml:space="preserve">dd_fp = ad;</t>
    </r>
  </si>
  <si>
    <r>
      <rPr>
        <sz val="9"/>
        <rFont val="Meiryo UI"/>
        <family val="3"/>
        <charset val="1"/>
      </rPr>
      <t xml:space="preserve">#</t>
    </r>
    <r>
      <rPr>
        <sz val="11"/>
        <rFont val="ＭＳ Ｐゴシック"/>
        <family val="0"/>
      </rPr>
      <t xml:space="preserve">go</t>
    </r>
  </si>
  <si>
    <r>
      <rPr>
        <sz val="9"/>
        <rFont val="Meiryo UI"/>
        <family val="3"/>
        <charset val="1"/>
      </rPr>
      <t xml:space="preserve">a</t>
    </r>
    <r>
      <rPr>
        <sz val="11"/>
        <rFont val="ＭＳ Ｐゴシック"/>
        <family val="0"/>
      </rPr>
      <t xml:space="preserve">cc</t>
    </r>
  </si>
  <si>
    <r>
      <rPr>
        <sz val="9"/>
        <rFont val="Meiryo UI"/>
        <family val="3"/>
        <charset val="1"/>
      </rPr>
      <t xml:space="preserve">#</t>
    </r>
    <r>
      <rPr>
        <sz val="11"/>
        <rFont val="ＭＳ Ｐゴシック"/>
        <family val="0"/>
      </rPr>
      <t xml:space="preserve">endif</t>
    </r>
  </si>
  <si>
    <r>
      <rPr>
        <sz val="9"/>
        <rFont val="Meiryo UI"/>
        <family val="3"/>
        <charset val="1"/>
      </rPr>
      <t xml:space="preserve">a</t>
    </r>
    <r>
      <rPr>
        <sz val="11"/>
        <rFont val="ＭＳ Ｐゴシック"/>
        <family val="0"/>
      </rPr>
      <t xml:space="preserve">dd = add_fp;</t>
    </r>
  </si>
  <si>
    <r>
      <rPr>
        <sz val="9"/>
        <rFont val="Meiryo UI"/>
        <family val="3"/>
        <charset val="1"/>
      </rPr>
      <t xml:space="preserve">d</t>
    </r>
    <r>
      <rPr>
        <sz val="11"/>
        <rFont val="ＭＳ Ｐゴシック"/>
        <family val="0"/>
      </rPr>
      <t xml:space="preserve">ata = ad;</t>
    </r>
  </si>
  <si>
    <r>
      <rPr>
        <sz val="9"/>
        <rFont val="Meiryo UI"/>
        <family val="3"/>
        <charset val="1"/>
      </rPr>
      <t xml:space="preserve">#</t>
    </r>
    <r>
      <rPr>
        <sz val="11"/>
        <rFont val="ＭＳ Ｐゴシック"/>
        <family val="0"/>
      </rPr>
      <t xml:space="preserve">chg</t>
    </r>
  </si>
  <si>
    <r>
      <rPr>
        <sz val="9"/>
        <rFont val="Meiryo UI"/>
        <family val="3"/>
        <charset val="1"/>
      </rPr>
      <t xml:space="preserve">c</t>
    </r>
    <r>
      <rPr>
        <sz val="11"/>
        <rFont val="ＭＳ Ｐゴシック"/>
        <family val="0"/>
      </rPr>
      <t xml:space="preserve">s_o</t>
    </r>
  </si>
  <si>
    <r>
      <rPr>
        <sz val="9"/>
        <rFont val="Meiryo UI"/>
        <family val="3"/>
        <charset val="1"/>
      </rPr>
      <t xml:space="preserve">0</t>
    </r>
    <r>
      <rPr>
        <sz val="11"/>
        <rFont val="ＭＳ Ｐゴシック"/>
        <family val="0"/>
      </rPr>
      <t xml:space="preserve">:1'b0</t>
    </r>
  </si>
  <si>
    <r>
      <rPr>
        <sz val="9"/>
        <rFont val="Meiryo UI"/>
        <family val="3"/>
        <charset val="1"/>
      </rPr>
      <t xml:space="preserve">1</t>
    </r>
    <r>
      <rPr>
        <sz val="11"/>
        <rFont val="ＭＳ Ｐゴシック"/>
        <family val="0"/>
      </rPr>
      <t xml:space="preserve">:1'b1</t>
    </r>
  </si>
  <si>
    <r>
      <rPr>
        <sz val="9"/>
        <rFont val="Meiryo UI"/>
        <family val="3"/>
        <charset val="1"/>
      </rPr>
      <t xml:space="preserve">w</t>
    </r>
    <r>
      <rPr>
        <sz val="11"/>
        <rFont val="ＭＳ Ｐゴシック"/>
        <family val="0"/>
      </rPr>
      <t xml:space="preserve">ait</t>
    </r>
  </si>
  <si>
    <r>
      <rPr>
        <sz val="9"/>
        <rFont val="Meiryo UI"/>
        <family val="3"/>
        <charset val="1"/>
      </rPr>
      <t xml:space="preserve">#</t>
    </r>
    <r>
      <rPr>
        <sz val="11"/>
        <rFont val="ＭＳ Ｐゴシック"/>
        <family val="0"/>
      </rPr>
      <t xml:space="preserve">if</t>
    </r>
  </si>
  <si>
    <r>
      <rPr>
        <sz val="9"/>
        <rFont val="Meiryo UI"/>
        <family val="3"/>
        <charset val="1"/>
      </rPr>
      <t xml:space="preserve">~</t>
    </r>
    <r>
      <rPr>
        <sz val="11"/>
        <rFont val="ＭＳ Ｐゴシック"/>
        <family val="0"/>
      </rPr>
      <t xml:space="preserve">ack_i</t>
    </r>
  </si>
  <si>
    <r>
      <rPr>
        <sz val="9"/>
        <rFont val="Meiryo UI"/>
        <family val="3"/>
        <charset val="1"/>
      </rPr>
      <t xml:space="preserve">a</t>
    </r>
    <r>
      <rPr>
        <sz val="11"/>
        <rFont val="ＭＳ Ｐゴシック"/>
        <family val="0"/>
      </rPr>
      <t xml:space="preserve">ck</t>
    </r>
  </si>
  <si>
    <r>
      <rPr>
        <sz val="9"/>
        <rFont val="Meiryo UI"/>
        <family val="3"/>
        <charset val="1"/>
      </rPr>
      <t xml:space="preserve">a</t>
    </r>
    <r>
      <rPr>
        <sz val="11"/>
        <rFont val="ＭＳ Ｐゴシック"/>
        <family val="0"/>
      </rPr>
      <t xml:space="preserve">dd = 32'h0;</t>
    </r>
  </si>
  <si>
    <r>
      <rPr>
        <sz val="9"/>
        <rFont val="Meiryo UI"/>
        <family val="3"/>
        <charset val="1"/>
      </rPr>
      <t xml:space="preserve">d</t>
    </r>
    <r>
      <rPr>
        <sz val="11"/>
        <rFont val="ＭＳ Ｐゴシック"/>
        <family val="0"/>
      </rPr>
      <t xml:space="preserve">ata = 32'h0;</t>
    </r>
  </si>
  <si>
    <r>
      <rPr>
        <sz val="9"/>
        <rFont val="Meiryo UI"/>
        <family val="3"/>
        <charset val="1"/>
      </rPr>
      <t xml:space="preserve">w</t>
    </r>
    <r>
      <rPr>
        <sz val="11"/>
        <rFont val="ＭＳ Ｐゴシック"/>
        <family val="0"/>
      </rPr>
      <t xml:space="preserve">ait2</t>
    </r>
  </si>
  <si>
    <t xml:space="preserve">#coverage</t>
  </si>
  <si>
    <t xml:space="preserve">top.i_model.sample0_fp</t>
  </si>
  <si>
    <t xml:space="preserve">top.i_model.sample1_fp</t>
  </si>
  <si>
    <t xml:space="preserve">top.i_model.sample_acc</t>
  </si>
  <si>
    <t xml:space="preserve">top.i_model.sample_idle</t>
  </si>
  <si>
    <t xml:space="preserve">top.i_model.sample_wait</t>
  </si>
  <si>
    <t xml:space="preserve">top.i_model.sample_wait2</t>
  </si>
  <si>
    <t xml:space="preserve">初期処理</t>
  </si>
  <si>
    <t xml:space="preserve">#sp0</t>
  </si>
  <si>
    <t xml:space="preserve">#wr</t>
  </si>
  <si>
    <t xml:space="preserve">// # Top Initialize ######################</t>
  </si>
  <si>
    <t xml:space="preserve">#sp+</t>
  </si>
  <si>
    <t xml:space="preserve">initial begin</t>
  </si>
  <si>
    <t xml:space="preserve">#10</t>
  </si>
  <si>
    <t xml:space="preserve">#100000</t>
  </si>
  <si>
    <t xml:space="preserve">テストベンチ起動</t>
  </si>
  <si>
    <t xml:space="preserve">coverage_start;</t>
  </si>
  <si>
    <t xml:space="preserve">coverage_result(3);</t>
  </si>
  <si>
    <t xml:space="preserve">#sp-</t>
  </si>
  <si>
    <t xml:space="preserve">end</t>
  </si>
  <si>
    <t xml:space="preserve">ポート定義</t>
  </si>
  <si>
    <r>
      <rPr>
        <sz val="9"/>
        <rFont val="Meiryo UI"/>
        <family val="3"/>
        <charset val="1"/>
      </rPr>
      <t xml:space="preserve">w</t>
    </r>
    <r>
      <rPr>
        <sz val="11"/>
        <rFont val="ＭＳ Ｐゴシック"/>
        <family val="0"/>
      </rPr>
      <t xml:space="preserve">ire</t>
    </r>
  </si>
  <si>
    <t xml:space="preserve">model用</t>
  </si>
  <si>
    <r>
      <rPr>
        <sz val="9"/>
        <rFont val="Meiryo UI"/>
        <family val="3"/>
        <charset val="1"/>
      </rPr>
      <t xml:space="preserve">c</t>
    </r>
    <r>
      <rPr>
        <sz val="11"/>
        <rFont val="ＭＳ Ｐゴシック"/>
        <family val="0"/>
      </rPr>
      <t xml:space="preserve">lko</t>
    </r>
  </si>
  <si>
    <t xml:space="preserve">テストベンチ用</t>
  </si>
  <si>
    <t xml:space="preserve">クロック名</t>
  </si>
  <si>
    <t xml:space="preserve">周期</t>
  </si>
  <si>
    <t xml:space="preserve">変化位置１</t>
  </si>
  <si>
    <t xml:space="preserve">変化位置2</t>
  </si>
  <si>
    <t xml:space="preserve">初期値</t>
  </si>
  <si>
    <t xml:space="preserve">アサイン信号名</t>
  </si>
  <si>
    <t xml:space="preserve">#clk</t>
  </si>
  <si>
    <t xml:space="preserve">clko</t>
  </si>
  <si>
    <t xml:space="preserve">main</t>
  </si>
  <si>
    <t xml:space="preserve">test_port.csv</t>
  </si>
  <si>
    <t xml:space="preserve">`include "test.v"</t>
  </si>
  <si>
    <t xml:space="preserve">address</t>
  </si>
  <si>
    <t xml:space="preserve">%acc</t>
  </si>
  <si>
    <t xml:space="preserve">32'haaaaaaaa</t>
  </si>
  <si>
    <t xml:space="preserve">32'hdddddddd</t>
  </si>
  <si>
    <t xml:space="preserve">32'h55555555</t>
  </si>
  <si>
    <t xml:space="preserve">32'h33333333</t>
  </si>
  <si>
    <t xml:space="preserve">32'hffffffff</t>
  </si>
  <si>
    <t xml:space="preserve">32'h00000000</t>
  </si>
  <si>
    <t xml:space="preserve">32'h12345678</t>
  </si>
  <si>
    <t xml:space="preserve">32'h87654321</t>
  </si>
  <si>
    <t xml:space="preserve">cnt</t>
  </si>
  <si>
    <t xml:space="preserve">%acc_renzoku</t>
  </si>
  <si>
    <t xml:space="preserve">#chgtrap</t>
  </si>
  <si>
    <t xml:space="preserve">#chgmax</t>
  </si>
  <si>
    <t xml:space="preserve">valid</t>
  </si>
  <si>
    <t xml:space="preserve">rr_dt0</t>
  </si>
  <si>
    <t xml:space="preserve">rr_dt1</t>
  </si>
  <si>
    <t xml:space="preserve">16</t>
  </si>
  <si>
    <t xml:space="preserve">rr_dt2</t>
  </si>
  <si>
    <t xml:space="preserve">8</t>
  </si>
  <si>
    <t xml:space="preserve">s_valid</t>
  </si>
  <si>
    <t xml:space="preserve">パラメータとして使う変数の指定</t>
  </si>
  <si>
    <t xml:space="preserve">#patern</t>
  </si>
  <si>
    <t xml:space="preserve">a_parm</t>
  </si>
  <si>
    <t xml:space="preserve">#arymax</t>
  </si>
  <si>
    <t xml:space="preserve">パターン総数</t>
  </si>
  <si>
    <t xml:space="preserve">#var</t>
  </si>
  <si>
    <t xml:space="preserve">a_add</t>
  </si>
  <si>
    <t xml:space="preserve">a_data</t>
  </si>
  <si>
    <t xml:space="preserve">a_tim</t>
  </si>
  <si>
    <t xml:space="preserve">データ出力タイミング</t>
  </si>
  <si>
    <t xml:space="preserve">b_parm</t>
  </si>
  <si>
    <t xml:space="preserve">b_tim</t>
  </si>
  <si>
    <t xml:space="preserve">ack_i返送タイミング</t>
  </si>
  <si>
    <t xml:space="preserve">c_parm</t>
  </si>
  <si>
    <t xml:space="preserve">20</t>
  </si>
  <si>
    <t xml:space="preserve">c_data</t>
  </si>
  <si>
    <t xml:space="preserve">c_add</t>
  </si>
  <si>
    <t xml:space="preserve">c_tim</t>
  </si>
  <si>
    <t xml:space="preserve">$$display("initialize\n");</t>
  </si>
  <si>
    <t xml:space="preserve">信号の初期化</t>
  </si>
  <si>
    <t xml:space="preserve">  reset_n=1'b0;</t>
  </si>
  <si>
    <t xml:space="preserve">    cs = 1'b1;</t>
  </si>
  <si>
    <t xml:space="preserve">  ad = 32'hzzzzzzzz;</t>
  </si>
  <si>
    <t xml:space="preserve">  ack_i = 1'b1;</t>
  </si>
  <si>
    <t xml:space="preserve">  reset_n =1'b1;</t>
  </si>
  <si>
    <t xml:space="preserve">test_a_rst;</t>
  </si>
  <si>
    <t xml:space="preserve">test_b_rst;</t>
  </si>
  <si>
    <t xml:space="preserve">$$display("initialize end\n");</t>
  </si>
  <si>
    <t xml:space="preserve">test_aステートマシン</t>
  </si>
  <si>
    <t xml:space="preserve">#status</t>
  </si>
  <si>
    <t xml:space="preserve">test_a</t>
  </si>
  <si>
    <t xml:space="preserve">#slocal</t>
  </si>
  <si>
    <t xml:space="preserve">0</t>
  </si>
  <si>
    <t xml:space="preserve">asrt</t>
  </si>
  <si>
    <t xml:space="preserve">信号アサート（初期状態）</t>
  </si>
  <si>
    <t xml:space="preserve">a_parm_get;</t>
  </si>
  <si>
    <t xml:space="preserve">a_parmパラメータゲット</t>
  </si>
  <si>
    <t xml:space="preserve">0:1'b0</t>
  </si>
  <si>
    <t xml:space="preserve">1:1'b1</t>
  </si>
  <si>
    <t xml:space="preserve">0:a_add</t>
  </si>
  <si>
    <t xml:space="preserve">1:a_data</t>
  </si>
  <si>
    <t xml:space="preserve">@Lcnt = 0;</t>
  </si>
  <si>
    <t xml:space="preserve">ss_send_check(s_valid);</t>
  </si>
  <si>
    <t xml:space="preserve">$$display("send OK(before) = %d",s_valid);</t>
  </si>
  <si>
    <t xml:space="preserve">ss_send(a_data,a_add,30);</t>
  </si>
  <si>
    <t xml:space="preserve">$$display("send OK(after) = %d",s_valid);</t>
  </si>
  <si>
    <t xml:space="preserve">%for</t>
  </si>
  <si>
    <t xml:space="preserve">x</t>
  </si>
  <si>
    <t xml:space="preserve">7</t>
  </si>
  <si>
    <t xml:space="preserve">ss2_send_check(s_valid);</t>
  </si>
  <si>
    <t xml:space="preserve">$$display("send(2) OK(before) = %d",s_valid);</t>
  </si>
  <si>
    <t xml:space="preserve">ss2_send(a_data,a_add,$x$);</t>
  </si>
  <si>
    <t xml:space="preserve">$$display("send(2) OK(after) = %d",s_valid);</t>
  </si>
  <si>
    <t xml:space="preserve">%endfor</t>
  </si>
  <si>
    <t xml:space="preserve">c_parm_fifo_wr(a_data,a_add,30);</t>
  </si>
  <si>
    <t xml:space="preserve">ack_wait</t>
  </si>
  <si>
    <t xml:space="preserve">ＡＣＫ待ち</t>
  </si>
  <si>
    <t xml:space="preserve">ack == 1'b0</t>
  </si>
  <si>
    <t xml:space="preserve">a_tim == 0</t>
  </si>
  <si>
    <t xml:space="preserve">acc_wait</t>
  </si>
  <si>
    <t xml:space="preserve">アクセス間隔ウエイト</t>
  </si>
  <si>
    <t xml:space="preserve">@Lcnt == a_tim-1</t>
  </si>
  <si>
    <t xml:space="preserve">@Lcnt = @Lcnt + 1;</t>
  </si>
  <si>
    <t xml:space="preserve">test_bステートマシン</t>
  </si>
  <si>
    <t xml:space="preserve">test_b</t>
  </si>
  <si>
    <t xml:space="preserve">ＡＣＫ待ち（初期状態）</t>
  </si>
  <si>
    <t xml:space="preserve">cs_o == 1'b0</t>
  </si>
  <si>
    <t xml:space="preserve">b_parm_get;</t>
  </si>
  <si>
    <t xml:space="preserve">b_parmパラメータゲット</t>
  </si>
  <si>
    <t xml:space="preserve">rr_recv(valid,rr_dt0,rr_dt1,rr_dt2);</t>
  </si>
  <si>
    <t xml:space="preserve">$$display("channel  : %d %x %x %x",valid,rr_dt0,rr_dt1,rr_dt2);</t>
  </si>
  <si>
    <t xml:space="preserve">rr2_recv(valid,rr_dt0,rr_dt1,rr_dt2);</t>
  </si>
  <si>
    <t xml:space="preserve">$$display("channel (2) : %d %x %x %x",valid,rr_dt0,rr_dt1,rr_dt2);</t>
  </si>
  <si>
    <t xml:space="preserve">c_parm_fifo_rd;</t>
  </si>
  <si>
    <t xml:space="preserve">$$display("fifo : %x %x %x",c_data,c_add,c_tim);</t>
  </si>
  <si>
    <t xml:space="preserve">#elseif</t>
  </si>
  <si>
    <t xml:space="preserve">cs_o == 1'b1</t>
  </si>
  <si>
    <t xml:space="preserve">ウエイト</t>
  </si>
  <si>
    <t xml:space="preserve">@Lcnt == b_tim</t>
  </si>
  <si>
    <t xml:space="preserve">1:'b1</t>
  </si>
  <si>
    <t xml:space="preserve">$$display($$time,":address=%x  data=%x",add,data);</t>
  </si>
  <si>
    <r>
      <rPr>
        <sz val="9"/>
        <rFont val="Meiryo UI"/>
        <family val="3"/>
        <charset val="1"/>
      </rPr>
      <t xml:space="preserve">r</t>
    </r>
    <r>
      <rPr>
        <sz val="11"/>
        <rFont val="ＭＳ Ｐゴシック"/>
        <family val="0"/>
      </rPr>
      <t xml:space="preserve">eg</t>
    </r>
  </si>
  <si>
    <t xml:space="preserve">#inf_send</t>
  </si>
  <si>
    <t xml:space="preserve">ss</t>
  </si>
  <si>
    <t xml:space="preserve">#inf_enable</t>
  </si>
  <si>
    <t xml:space="preserve">ss_enable</t>
  </si>
  <si>
    <t xml:space="preserve">#inf</t>
  </si>
  <si>
    <t xml:space="preserve">s_dt0</t>
  </si>
  <si>
    <t xml:space="preserve">s_dt1</t>
  </si>
  <si>
    <t xml:space="preserve">s_dt2</t>
  </si>
  <si>
    <t xml:space="preserve">#inf_recv</t>
  </si>
  <si>
    <t xml:space="preserve">rr</t>
  </si>
  <si>
    <t xml:space="preserve">rr_enable</t>
  </si>
  <si>
    <t xml:space="preserve">r_dt0</t>
  </si>
  <si>
    <t xml:space="preserve">r_dt1</t>
  </si>
  <si>
    <t xml:space="preserve">r_dt2</t>
  </si>
  <si>
    <t xml:space="preserve">ss2</t>
  </si>
  <si>
    <t xml:space="preserve">ss2_enable</t>
  </si>
  <si>
    <t xml:space="preserve">s2_dt0</t>
  </si>
  <si>
    <t xml:space="preserve">s2_dt1</t>
  </si>
  <si>
    <t xml:space="preserve">s2_dt2</t>
  </si>
  <si>
    <t xml:space="preserve">rr2</t>
  </si>
  <si>
    <t xml:space="preserve">rr2_enable</t>
  </si>
  <si>
    <t xml:space="preserve">r2_dt0</t>
  </si>
  <si>
    <t xml:space="preserve">r2_dt1</t>
  </si>
  <si>
    <t xml:space="preserve">r2_dt2</t>
  </si>
  <si>
    <t xml:space="preserve">モデルとテストベンチの接続</t>
  </si>
  <si>
    <t xml:space="preserve">top</t>
  </si>
  <si>
    <t xml:space="preserve">接続リスト</t>
  </si>
  <si>
    <t xml:space="preserve">#con_head</t>
  </si>
  <si>
    <t xml:space="preserve">#define</t>
  </si>
  <si>
    <t xml:space="preserve">#line</t>
  </si>
  <si>
    <t xml:space="preserve">#con_mod</t>
  </si>
  <si>
    <t xml:space="preserve">model</t>
  </si>
  <si>
    <t xml:space="preserve">cover</t>
  </si>
  <si>
    <t xml:space="preserve">#con</t>
  </si>
  <si>
    <t xml:space="preserve">$$dumpfile("c:\csv\aaa.dump");</t>
  </si>
  <si>
    <t xml:space="preserve">$$dumpvars(1,i_model);</t>
  </si>
  <si>
    <t xml:space="preserve">$$dumpvars(1,i_main);</t>
  </si>
  <si>
    <t xml:space="preserve">#readmemh</t>
  </si>
  <si>
    <t xml:space="preserve">ptr</t>
  </si>
  <si>
    <t xml:space="preserve">100</t>
  </si>
  <si>
    <t xml:space="preserve">aaa.hex</t>
  </si>
  <si>
    <t xml:space="preserve">#readvar</t>
  </si>
  <si>
    <t xml:space="preserve">ww0</t>
  </si>
  <si>
    <t xml:space="preserve">ww1</t>
  </si>
  <si>
    <t xml:space="preserve">ww2</t>
  </si>
  <si>
    <t xml:space="preserve">ww3</t>
  </si>
  <si>
    <t xml:space="preserve">ww4</t>
  </si>
  <si>
    <t xml:space="preserve">ww5</t>
  </si>
  <si>
    <t xml:space="preserve">ptr_2</t>
  </si>
  <si>
    <t xml:space="preserve">200</t>
  </si>
  <si>
    <t xml:space="preserve">bbb.hex</t>
  </si>
  <si>
    <t xml:space="preserve">aa0</t>
  </si>
  <si>
    <t xml:space="preserve">aa1</t>
  </si>
  <si>
    <t xml:space="preserve">ptr_3</t>
  </si>
  <si>
    <t xml:space="preserve">50</t>
  </si>
  <si>
    <t xml:space="preserve">ccc.hex</t>
  </si>
  <si>
    <t xml:space="preserve">bb0</t>
  </si>
  <si>
    <t xml:space="preserve">bb1</t>
  </si>
  <si>
    <t xml:space="preserve">bb2</t>
  </si>
  <si>
    <t xml:space="preserve">bb3</t>
  </si>
  <si>
    <t xml:space="preserve">bb4</t>
  </si>
  <si>
    <t xml:space="preserve">%class</t>
  </si>
  <si>
    <t xml:space="preserve">%st</t>
  </si>
  <si>
    <t xml:space="preserve">別名定義</t>
  </si>
  <si>
    <t xml:space="preserve">%alias</t>
  </si>
  <si>
    <t xml:space="preserve">%%acc</t>
  </si>
  <si>
    <t xml:space="preserve">%%do</t>
  </si>
  <si>
    <t xml:space="preserve">acc</t>
  </si>
  <si>
    <t xml:space="preserve">%%acc_renzoku</t>
  </si>
  <si>
    <t xml:space="preserve">acc_renzoku</t>
  </si>
  <si>
    <t xml:space="preserve">%%port</t>
  </si>
  <si>
    <t xml:space="preserve">port_define</t>
  </si>
  <si>
    <t xml:space="preserve">%%header</t>
  </si>
  <si>
    <t xml:space="preserve">header</t>
  </si>
  <si>
    <t xml:space="preserve">~csvveri_C</t>
  </si>
  <si>
    <t xml:space="preserve">accマクロ</t>
  </si>
  <si>
    <t xml:space="preserve">%argdefchk</t>
  </si>
  <si>
    <t xml:space="preserve">%rand</t>
  </si>
  <si>
    <t xml:space="preserve">#p_patern</t>
  </si>
  <si>
    <t xml:space="preserve">#set</t>
  </si>
  <si>
    <t xml:space="preserve">$a_add$</t>
  </si>
  <si>
    <t xml:space="preserve">$a_data$</t>
  </si>
  <si>
    <t xml:space="preserve">$a_tim$</t>
  </si>
  <si>
    <t xml:space="preserve">$b_tim$</t>
  </si>
  <si>
    <t xml:space="preserve">acc_renzoku マクロ</t>
  </si>
  <si>
    <t xml:space="preserve">i</t>
  </si>
  <si>
    <t xml:space="preserve">$cnt$</t>
  </si>
  <si>
    <t xml:space="preserve">add_h</t>
  </si>
  <si>
    <t xml:space="preserve">'hFFFF</t>
  </si>
  <si>
    <t xml:space="preserve">add_l</t>
  </si>
  <si>
    <t xml:space="preserve">data_h</t>
  </si>
  <si>
    <t xml:space="preserve">data_l</t>
  </si>
  <si>
    <t xml:space="preserve">%do</t>
  </si>
  <si>
    <t xml:space="preserve">64'h$#%04x#add_h$$#%04x#add_l$$#%04x#add_h$$#%04x#add_l$</t>
  </si>
  <si>
    <t xml:space="preserve">64'h$#%04x#data_h$$#%04x#data_l$$#%04x#data_h$$#%04x#data_l$</t>
  </si>
  <si>
    <t xml:space="preserve">ポート宣言</t>
  </si>
  <si>
    <t xml:space="preserve">%var</t>
  </si>
  <si>
    <t xml:space="preserve">line</t>
  </si>
  <si>
    <t xml:space="preserve">io</t>
  </si>
  <si>
    <t xml:space="preserve">size</t>
  </si>
  <si>
    <t xml:space="preserve">kbn</t>
  </si>
  <si>
    <t xml:space="preserve">parm</t>
  </si>
  <si>
    <t xml:space="preserve">$argc$</t>
  </si>
  <si>
    <t xml:space="preserve">%aryrd</t>
  </si>
  <si>
    <t xml:space="preserve">argv</t>
  </si>
  <si>
    <t xml:space="preserve">$i$</t>
  </si>
  <si>
    <t xml:space="preserve">%if</t>
  </si>
  <si>
    <t xml:space="preserve">$argv$</t>
  </si>
  <si>
    <t xml:space="preserve">%continue</t>
  </si>
  <si>
    <t xml:space="preserve">%endif</t>
  </si>
  <si>
    <t xml:space="preserve">%set</t>
  </si>
  <si>
    <t xml:space="preserve">%arywr</t>
  </si>
  <si>
    <t xml:space="preserve">$#%02d#cnt+1$</t>
  </si>
  <si>
    <t xml:space="preserve">#$io$</t>
  </si>
  <si>
    <t xml:space="preserve">$line$</t>
  </si>
  <si>
    <t xml:space="preserve">%noif</t>
  </si>
  <si>
    <t xml:space="preserve">$size$</t>
  </si>
  <si>
    <t xml:space="preserve">$%parm</t>
  </si>
  <si>
    <t xml:space="preserve">%else</t>
  </si>
  <si>
    <t xml:space="preserve">#$kbn$</t>
  </si>
  <si>
    <t xml:space="preserve">ヘッダ</t>
  </si>
  <si>
    <t xml:space="preserve">%argdef</t>
  </si>
  <si>
    <t xml:space="preserve">func</t>
  </si>
  <si>
    <t xml:space="preserve">mod</t>
  </si>
  <si>
    <t xml:space="preserve">ver</t>
  </si>
  <si>
    <t xml:space="preserve">name</t>
  </si>
  <si>
    <t xml:space="preserve">#header</t>
  </si>
  <si>
    <t xml:space="preserve">########################################################################</t>
  </si>
  <si>
    <t xml:space="preserve">FunctionName : $func$</t>
  </si>
  <si>
    <t xml:space="preserve">File    Name : $mod$.v</t>
  </si>
  <si>
    <t xml:space="preserve">Module  Name : $mod$</t>
  </si>
  <si>
    <t xml:space="preserve">Version      : $ver$</t>
  </si>
  <si>
    <t xml:space="preserve">Author       : $name$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</si>
</sst>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name val="ＭＳ Ｐゴシック"/>
      <family val="0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ＭＳ Ｐ明朝"/>
      <family val="1"/>
      <charset val="128"/>
    </font>
    <font>
      <sz val="9"/>
      <name val="Meiryo UI"/>
      <family val="3"/>
      <charset val="1"/>
    </font>
    <font>
      <sz val="11"/>
      <name val="ＭＳ Ｐゴシック"/>
      <family val="0"/>
    </font>
    <font>
      <sz val="9"/>
      <name val="ＭＳ Ｐゴシック"/>
      <family val="0"/>
      <charset val="128"/>
    </font>
    <font>
      <sz val="9"/>
      <name val="ＭＳ Ｐ明朝"/>
      <family val="1"/>
      <charset val="128"/>
    </font>
    <font>
      <sz val="11"/>
      <name val="Meiryo UI"/>
      <family val="3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FFCC99"/>
        <bgColor rgb="FFC0C0C0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3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4" xfId="2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3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3" borderId="4" xfId="2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_doc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2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23" activeCellId="0" sqref="B23"/>
    </sheetView>
  </sheetViews>
  <sheetFormatPr defaultColWidth="8.9296875" defaultRowHeight="13.45" customHeight="false" zeroHeight="false" outlineLevelRow="0" outlineLevelCol="0"/>
  <cols>
    <col collapsed="false" customWidth="true" hidden="false" outlineLevel="0" max="1" min="1" style="1" width="2.75"/>
    <col collapsed="false" customWidth="false" hidden="false" outlineLevel="0" max="2" min="2" style="1" width="8.93"/>
    <col collapsed="false" customWidth="true" hidden="false" outlineLevel="0" max="3" min="3" style="1" width="12.7"/>
    <col collapsed="false" customWidth="true" hidden="false" outlineLevel="0" max="4" min="4" style="1" width="17.38"/>
    <col collapsed="false" customWidth="true" hidden="false" outlineLevel="0" max="5" min="5" style="1" width="38.6"/>
    <col collapsed="false" customWidth="true" hidden="false" outlineLevel="0" max="6" min="6" style="1" width="3.46"/>
    <col collapsed="false" customWidth="true" hidden="false" outlineLevel="0" max="7" min="7" style="1" width="7.6"/>
    <col collapsed="false" customWidth="true" hidden="false" outlineLevel="0" max="8" min="8" style="1" width="6.64"/>
    <col collapsed="false" customWidth="false" hidden="false" outlineLevel="0" max="257" min="9" style="1" width="8.93"/>
  </cols>
  <sheetData>
    <row r="2" customFormat="false" ht="13.45" hidden="false" customHeight="false" outlineLevel="0" collapsed="false">
      <c r="A2" s="2"/>
      <c r="B2" s="2" t="s">
        <v>0</v>
      </c>
      <c r="C2" s="2" t="s">
        <v>1</v>
      </c>
      <c r="D2" s="2"/>
      <c r="F2" s="3"/>
      <c r="H2" s="4"/>
    </row>
    <row r="3" customFormat="false" ht="13.45" hidden="false" customHeight="false" outlineLevel="0" collapsed="false">
      <c r="A3" s="2"/>
      <c r="B3" s="2" t="s">
        <v>2</v>
      </c>
      <c r="C3" s="2" t="s">
        <v>3</v>
      </c>
      <c r="D3" s="2" t="s">
        <v>4</v>
      </c>
      <c r="F3" s="2"/>
      <c r="H3" s="2"/>
    </row>
    <row r="4" customFormat="false" ht="13.45" hidden="false" customHeight="false" outlineLevel="0" collapsed="false">
      <c r="A4" s="2"/>
    </row>
    <row r="5" customFormat="false" ht="13.45" hidden="false" customHeight="false" outlineLevel="0" collapsed="false">
      <c r="A5" s="5"/>
      <c r="B5" s="1" t="s">
        <v>5</v>
      </c>
      <c r="C5" s="1" t="s">
        <v>6</v>
      </c>
      <c r="I5" s="5"/>
      <c r="J5" s="5"/>
      <c r="K5" s="5"/>
    </row>
    <row r="6" customFormat="false" ht="14.1" hidden="false" customHeight="false" outlineLevel="0" collapsed="false">
      <c r="B6" s="6" t="s">
        <v>7</v>
      </c>
      <c r="C6" s="1" t="s">
        <v>8</v>
      </c>
      <c r="D6" s="6" t="str">
        <f aca="false">CONCATENATE("#",H6,"\",G6,".csv")</f>
        <v>#c:\csv\model.csv</v>
      </c>
      <c r="E6" s="6" t="str">
        <f aca="false">CONCATENATE(H6,"\",G6,".v")</f>
        <v>c:\csv\model.v</v>
      </c>
      <c r="F6" s="6" t="s">
        <v>9</v>
      </c>
      <c r="G6" s="7" t="s">
        <v>10</v>
      </c>
      <c r="H6" s="1" t="s">
        <v>11</v>
      </c>
    </row>
    <row r="7" customFormat="false" ht="13.45" hidden="false" customHeight="false" outlineLevel="0" collapsed="false">
      <c r="B7" s="2" t="s">
        <v>0</v>
      </c>
      <c r="C7" s="1" t="str">
        <f aca="false">CONCATENATE(G6,".csv")</f>
        <v>model.csv</v>
      </c>
      <c r="D7" s="6"/>
      <c r="E7" s="6"/>
      <c r="F7" s="6"/>
      <c r="G7" s="5"/>
      <c r="H7" s="5"/>
    </row>
    <row r="8" customFormat="false" ht="14.1" hidden="false" customHeight="false" outlineLevel="0" collapsed="false">
      <c r="B8" s="6" t="s">
        <v>7</v>
      </c>
      <c r="C8" s="1" t="s">
        <v>8</v>
      </c>
      <c r="D8" s="6" t="str">
        <f aca="false">CONCATENATE("#",H8,"\",G8,".csv")</f>
        <v>#c:\csv\model2.csv</v>
      </c>
      <c r="E8" s="6" t="str">
        <f aca="false">CONCATENATE(H8,"\",G8,".v")</f>
        <v>c:\csv\model2.v</v>
      </c>
      <c r="F8" s="6" t="s">
        <v>9</v>
      </c>
      <c r="G8" s="7" t="s">
        <v>12</v>
      </c>
      <c r="H8" s="1" t="s">
        <v>11</v>
      </c>
    </row>
    <row r="9" customFormat="false" ht="13.45" hidden="false" customHeight="false" outlineLevel="0" collapsed="false">
      <c r="B9" s="2" t="s">
        <v>0</v>
      </c>
      <c r="C9" s="1" t="str">
        <f aca="false">CONCATENATE(G8,".csv")</f>
        <v>model2.csv</v>
      </c>
      <c r="D9" s="6"/>
      <c r="E9" s="6"/>
      <c r="F9" s="6"/>
      <c r="G9" s="5"/>
      <c r="H9" s="5"/>
    </row>
    <row r="10" customFormat="false" ht="14.1" hidden="false" customHeight="false" outlineLevel="0" collapsed="false">
      <c r="B10" s="6" t="s">
        <v>7</v>
      </c>
      <c r="C10" s="1" t="s">
        <v>8</v>
      </c>
      <c r="D10" s="6" t="str">
        <f aca="false">CONCATENATE("#",H10,"\",G10,".csv")</f>
        <v>#c:\csv\main.csv</v>
      </c>
      <c r="E10" s="6" t="str">
        <f aca="false">CONCATENATE(H10,"\",G10,".v")</f>
        <v>c:\csv\main.v</v>
      </c>
      <c r="F10" s="6" t="s">
        <v>9</v>
      </c>
      <c r="G10" s="7" t="s">
        <v>13</v>
      </c>
      <c r="H10" s="1" t="s">
        <v>11</v>
      </c>
    </row>
    <row r="11" customFormat="false" ht="13.45" hidden="false" customHeight="false" outlineLevel="0" collapsed="false">
      <c r="B11" s="2" t="s">
        <v>0</v>
      </c>
      <c r="C11" s="1" t="s">
        <v>14</v>
      </c>
      <c r="D11" s="6"/>
      <c r="E11" s="6"/>
      <c r="F11" s="6"/>
      <c r="G11" s="5"/>
      <c r="H11" s="5"/>
    </row>
    <row r="12" customFormat="false" ht="14.1" hidden="false" customHeight="false" outlineLevel="0" collapsed="false">
      <c r="B12" s="6" t="s">
        <v>7</v>
      </c>
      <c r="C12" s="1" t="s">
        <v>8</v>
      </c>
      <c r="D12" s="6" t="str">
        <f aca="false">CONCATENATE("#",H12,"\",G12,".csv")</f>
        <v>#c:\csv\clk.csv</v>
      </c>
      <c r="E12" s="6" t="str">
        <f aca="false">CONCATENATE(H12,"\",G12,".v")</f>
        <v>c:\csv\clk.v</v>
      </c>
      <c r="F12" s="6" t="s">
        <v>9</v>
      </c>
      <c r="G12" s="7" t="s">
        <v>15</v>
      </c>
      <c r="H12" s="1" t="s">
        <v>11</v>
      </c>
    </row>
    <row r="13" customFormat="false" ht="13.45" hidden="false" customHeight="false" outlineLevel="0" collapsed="false">
      <c r="B13" s="2" t="s">
        <v>0</v>
      </c>
      <c r="C13" s="1" t="s">
        <v>16</v>
      </c>
      <c r="D13" s="6"/>
      <c r="E13" s="6"/>
      <c r="F13" s="6"/>
      <c r="G13" s="5"/>
      <c r="H13" s="5"/>
    </row>
    <row r="14" customFormat="false" ht="14.1" hidden="false" customHeight="false" outlineLevel="0" collapsed="false">
      <c r="B14" s="6" t="s">
        <v>7</v>
      </c>
      <c r="C14" s="1" t="s">
        <v>8</v>
      </c>
      <c r="D14" s="6" t="str">
        <f aca="false">CONCATENATE("#",H14,"\",G14,".csv")</f>
        <v>#c:\csv\test.csv</v>
      </c>
      <c r="E14" s="6" t="str">
        <f aca="false">CONCATENATE(H14,"\",G14,".v")</f>
        <v>c:\csv\test.v</v>
      </c>
      <c r="F14" s="6" t="s">
        <v>9</v>
      </c>
      <c r="G14" s="7" t="s">
        <v>17</v>
      </c>
      <c r="H14" s="1" t="s">
        <v>11</v>
      </c>
    </row>
    <row r="15" customFormat="false" ht="13.45" hidden="false" customHeight="false" outlineLevel="0" collapsed="false">
      <c r="B15" s="2" t="s">
        <v>0</v>
      </c>
      <c r="C15" s="1" t="s">
        <v>18</v>
      </c>
      <c r="D15" s="6"/>
      <c r="E15" s="6"/>
      <c r="F15" s="6"/>
      <c r="G15" s="5"/>
      <c r="H15" s="5"/>
    </row>
    <row r="16" customFormat="false" ht="14.1" hidden="false" customHeight="false" outlineLevel="0" collapsed="false">
      <c r="B16" s="6" t="s">
        <v>7</v>
      </c>
      <c r="C16" s="1" t="s">
        <v>8</v>
      </c>
      <c r="D16" s="6" t="str">
        <f aca="false">CONCATENATE("#",H16,"\",G16,".csv")</f>
        <v>#c:\csv\top.csv</v>
      </c>
      <c r="E16" s="6" t="str">
        <f aca="false">CONCATENATE(H16,"\",G16,".v")</f>
        <v>c:\csv\top.v</v>
      </c>
      <c r="F16" s="6" t="s">
        <v>9</v>
      </c>
      <c r="G16" s="7" t="s">
        <v>19</v>
      </c>
      <c r="H16" s="1" t="s">
        <v>11</v>
      </c>
    </row>
    <row r="17" customFormat="false" ht="13.45" hidden="false" customHeight="false" outlineLevel="0" collapsed="false">
      <c r="B17" s="2" t="s">
        <v>0</v>
      </c>
      <c r="C17" s="1" t="s">
        <v>20</v>
      </c>
      <c r="D17" s="6"/>
      <c r="E17" s="6"/>
      <c r="F17" s="6"/>
      <c r="G17" s="5"/>
      <c r="H17" s="5"/>
    </row>
    <row r="18" customFormat="false" ht="14.1" hidden="false" customHeight="false" outlineLevel="0" collapsed="false">
      <c r="B18" s="6" t="s">
        <v>7</v>
      </c>
      <c r="C18" s="1" t="s">
        <v>8</v>
      </c>
      <c r="D18" s="6" t="str">
        <f aca="false">CONCATENATE("#",H18,"\",G18,".csv")</f>
        <v>#c:\csv\cover.csv</v>
      </c>
      <c r="E18" s="6" t="str">
        <f aca="false">CONCATENATE(H18,"\",G18,".v")</f>
        <v>c:\csv\cover.v</v>
      </c>
      <c r="F18" s="6" t="s">
        <v>9</v>
      </c>
      <c r="G18" s="7" t="s">
        <v>21</v>
      </c>
      <c r="H18" s="1" t="s">
        <v>11</v>
      </c>
    </row>
    <row r="19" customFormat="false" ht="13.45" hidden="false" customHeight="false" outlineLevel="0" collapsed="false">
      <c r="B19" s="2" t="s">
        <v>0</v>
      </c>
      <c r="C19" s="1" t="s">
        <v>22</v>
      </c>
      <c r="D19" s="6"/>
      <c r="E19" s="6"/>
      <c r="F19" s="6"/>
      <c r="G19" s="5"/>
      <c r="H19" s="5"/>
    </row>
    <row r="21" customFormat="false" ht="13.45" hidden="false" customHeight="false" outlineLevel="0" collapsed="false">
      <c r="B21" s="6" t="s">
        <v>7</v>
      </c>
    </row>
    <row r="22" customFormat="false" ht="13.45" hidden="false" customHeight="false" outlineLevel="0" collapsed="false">
      <c r="B22" s="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K39" activeCellId="0" sqref="K39"/>
    </sheetView>
  </sheetViews>
  <sheetFormatPr defaultColWidth="11.6015625" defaultRowHeight="13.45" customHeight="false" zeroHeight="false" outlineLevelRow="0" outlineLevelCol="0"/>
  <cols>
    <col collapsed="false" customWidth="true" hidden="false" outlineLevel="0" max="1" min="1" style="8" width="3.95"/>
    <col collapsed="false" customWidth="true" hidden="false" outlineLevel="0" max="2" min="2" style="8" width="8.7"/>
    <col collapsed="false" customWidth="true" hidden="false" outlineLevel="0" max="3" min="3" style="8" width="12.57"/>
    <col collapsed="false" customWidth="true" hidden="false" outlineLevel="0" max="4" min="4" style="8" width="13.19"/>
    <col collapsed="false" customWidth="true" hidden="false" outlineLevel="0" max="5" min="5" style="8" width="10.63"/>
    <col collapsed="false" customWidth="true" hidden="false" outlineLevel="0" max="6" min="6" style="8" width="10.25"/>
    <col collapsed="false" customWidth="true" hidden="false" outlineLevel="0" max="7" min="7" style="8" width="12.42"/>
    <col collapsed="false" customWidth="false" hidden="false" outlineLevel="0" max="257" min="8" style="8" width="11.6"/>
  </cols>
  <sheetData>
    <row r="2" customFormat="false" ht="14.1" hidden="false" customHeight="false" outlineLevel="0" collapsed="false">
      <c r="B2" s="6" t="s">
        <v>23</v>
      </c>
      <c r="C2" s="6" t="s">
        <v>12</v>
      </c>
      <c r="D2" s="6"/>
      <c r="E2" s="6"/>
      <c r="F2" s="6"/>
    </row>
    <row r="3" customFormat="false" ht="14.1" hidden="false" customHeight="false" outlineLevel="0" collapsed="false">
      <c r="B3" s="5" t="s">
        <v>24</v>
      </c>
      <c r="C3" s="5" t="s">
        <v>25</v>
      </c>
      <c r="D3" s="5" t="str">
        <f aca="false">C2</f>
        <v>model2</v>
      </c>
      <c r="E3" s="2" t="s">
        <v>26</v>
      </c>
      <c r="F3" s="5" t="s">
        <v>27</v>
      </c>
    </row>
    <row r="4" customFormat="false" ht="13.45" hidden="false" customHeight="false" outlineLevel="0" collapsed="false">
      <c r="B4" s="2" t="s">
        <v>28</v>
      </c>
      <c r="C4" s="2" t="s">
        <v>29</v>
      </c>
      <c r="D4" s="2" t="s">
        <v>30</v>
      </c>
      <c r="E4" s="2"/>
      <c r="F4" s="2"/>
      <c r="G4" s="9"/>
    </row>
    <row r="5" customFormat="false" ht="13.45" hidden="false" customHeight="false" outlineLevel="0" collapsed="false">
      <c r="B5" s="2" t="s">
        <v>31</v>
      </c>
      <c r="C5" s="2" t="s">
        <v>32</v>
      </c>
      <c r="D5" s="2" t="n">
        <v>1</v>
      </c>
      <c r="E5" s="2" t="s">
        <v>33</v>
      </c>
      <c r="F5" s="2" t="s">
        <v>34</v>
      </c>
      <c r="G5" s="2" t="s">
        <v>35</v>
      </c>
    </row>
    <row r="6" customFormat="false" ht="13.45" hidden="false" customHeight="false" outlineLevel="0" collapsed="false">
      <c r="B6" s="2" t="s">
        <v>31</v>
      </c>
      <c r="C6" s="2" t="s">
        <v>36</v>
      </c>
      <c r="D6" s="2" t="n">
        <v>1</v>
      </c>
      <c r="E6" s="2" t="s">
        <v>33</v>
      </c>
      <c r="F6" s="2" t="s">
        <v>34</v>
      </c>
      <c r="G6" s="2"/>
    </row>
    <row r="7" customFormat="false" ht="13.45" hidden="false" customHeight="false" outlineLevel="0" collapsed="false">
      <c r="B7" s="2" t="s">
        <v>31</v>
      </c>
      <c r="C7" s="2" t="s">
        <v>37</v>
      </c>
      <c r="D7" s="2" t="s">
        <v>30</v>
      </c>
      <c r="E7" s="2" t="s">
        <v>33</v>
      </c>
      <c r="F7" s="2" t="s">
        <v>34</v>
      </c>
      <c r="G7" s="2"/>
    </row>
    <row r="8" customFormat="false" ht="13.45" hidden="false" customHeight="false" outlineLevel="0" collapsed="false">
      <c r="B8" s="2" t="s">
        <v>31</v>
      </c>
      <c r="C8" s="2" t="s">
        <v>38</v>
      </c>
      <c r="D8" s="2" t="s">
        <v>39</v>
      </c>
      <c r="E8" s="2" t="s">
        <v>33</v>
      </c>
      <c r="F8" s="2" t="s">
        <v>40</v>
      </c>
      <c r="G8" s="2"/>
    </row>
    <row r="9" customFormat="false" ht="13.45" hidden="false" customHeight="false" outlineLevel="0" collapsed="false">
      <c r="B9" s="2" t="s">
        <v>28</v>
      </c>
      <c r="C9" s="2" t="s">
        <v>41</v>
      </c>
      <c r="D9" s="2" t="s">
        <v>30</v>
      </c>
      <c r="E9" s="2"/>
      <c r="F9" s="2"/>
      <c r="G9" s="2"/>
    </row>
    <row r="10" customFormat="false" ht="13.45" hidden="false" customHeight="false" outlineLevel="0" collapsed="false">
      <c r="B10" s="2" t="s">
        <v>31</v>
      </c>
      <c r="C10" s="2" t="s">
        <v>42</v>
      </c>
      <c r="D10" s="2" t="s">
        <v>39</v>
      </c>
      <c r="E10" s="2" t="s">
        <v>33</v>
      </c>
      <c r="F10" s="2" t="s">
        <v>40</v>
      </c>
      <c r="G10" s="2"/>
    </row>
    <row r="11" customFormat="false" ht="13.45" hidden="false" customHeight="false" outlineLevel="0" collapsed="false">
      <c r="B11" s="10" t="s">
        <v>43</v>
      </c>
      <c r="C11" s="10" t="s">
        <v>44</v>
      </c>
      <c r="D11" s="10" t="s">
        <v>33</v>
      </c>
      <c r="E11" s="10" t="s">
        <v>45</v>
      </c>
      <c r="F11" s="10"/>
      <c r="G11" s="11"/>
    </row>
    <row r="12" customFormat="false" ht="13.45" hidden="false" customHeight="false" outlineLevel="0" collapsed="false">
      <c r="B12" s="12" t="s">
        <v>46</v>
      </c>
      <c r="C12" s="12" t="s">
        <v>47</v>
      </c>
      <c r="D12" s="12"/>
      <c r="E12" s="12"/>
      <c r="F12" s="12"/>
      <c r="G12" s="13"/>
    </row>
    <row r="13" customFormat="false" ht="13.45" hidden="false" customHeight="false" outlineLevel="0" collapsed="false">
      <c r="B13" s="2" t="s">
        <v>48</v>
      </c>
      <c r="C13" s="2" t="s">
        <v>49</v>
      </c>
      <c r="D13" s="2"/>
      <c r="E13" s="2"/>
      <c r="F13" s="2"/>
      <c r="G13" s="14"/>
    </row>
    <row r="14" customFormat="false" ht="13.45" hidden="false" customHeight="false" outlineLevel="0" collapsed="false">
      <c r="B14" s="2"/>
      <c r="C14" s="2" t="s">
        <v>48</v>
      </c>
      <c r="D14" s="2" t="s">
        <v>50</v>
      </c>
      <c r="E14" s="2"/>
      <c r="F14" s="2"/>
      <c r="G14" s="14"/>
    </row>
    <row r="15" customFormat="false" ht="13.45" hidden="false" customHeight="false" outlineLevel="0" collapsed="false">
      <c r="B15" s="2"/>
      <c r="C15" s="2"/>
      <c r="D15" s="2" t="s">
        <v>48</v>
      </c>
      <c r="E15" s="2" t="s">
        <v>51</v>
      </c>
      <c r="F15" s="2" t="s">
        <v>52</v>
      </c>
      <c r="G15" s="15" t="s">
        <v>53</v>
      </c>
    </row>
    <row r="16" customFormat="false" ht="13.45" hidden="false" customHeight="false" outlineLevel="0" collapsed="false">
      <c r="B16" s="2"/>
      <c r="C16" s="2"/>
      <c r="D16" s="2" t="s">
        <v>54</v>
      </c>
      <c r="E16" s="2"/>
      <c r="F16" s="2" t="s">
        <v>55</v>
      </c>
      <c r="G16" s="15" t="s">
        <v>56</v>
      </c>
    </row>
    <row r="17" customFormat="false" ht="13.45" hidden="false" customHeight="false" outlineLevel="0" collapsed="false">
      <c r="B17" s="2"/>
      <c r="C17" s="2"/>
      <c r="D17" s="2" t="s">
        <v>57</v>
      </c>
      <c r="E17" s="2" t="s">
        <v>36</v>
      </c>
      <c r="F17" s="2" t="s">
        <v>58</v>
      </c>
      <c r="G17" s="2" t="s">
        <v>59</v>
      </c>
    </row>
    <row r="18" customFormat="false" ht="13.45" hidden="false" customHeight="false" outlineLevel="0" collapsed="false">
      <c r="B18" s="2"/>
      <c r="C18" s="2"/>
      <c r="D18" s="2" t="s">
        <v>57</v>
      </c>
      <c r="E18" s="2" t="s">
        <v>52</v>
      </c>
      <c r="F18" s="15" t="s">
        <v>60</v>
      </c>
      <c r="G18" s="2" t="s">
        <v>61</v>
      </c>
    </row>
    <row r="19" customFormat="false" ht="13.45" hidden="false" customHeight="false" outlineLevel="0" collapsed="false">
      <c r="B19" s="2"/>
      <c r="C19" s="2"/>
      <c r="D19" s="2" t="s">
        <v>62</v>
      </c>
      <c r="E19" s="2" t="s">
        <v>63</v>
      </c>
      <c r="F19" s="2"/>
      <c r="G19" s="2"/>
    </row>
    <row r="20" customFormat="false" ht="13.45" hidden="false" customHeight="false" outlineLevel="0" collapsed="false">
      <c r="B20" s="2"/>
      <c r="C20" s="2" t="s">
        <v>64</v>
      </c>
      <c r="D20" s="2"/>
      <c r="E20" s="2"/>
      <c r="F20" s="2"/>
      <c r="G20" s="2"/>
    </row>
    <row r="21" customFormat="false" ht="13.45" hidden="false" customHeight="false" outlineLevel="0" collapsed="false">
      <c r="B21" s="2"/>
      <c r="C21" s="2"/>
      <c r="D21" s="2" t="s">
        <v>52</v>
      </c>
      <c r="E21" s="15" t="s">
        <v>65</v>
      </c>
      <c r="F21" s="2"/>
      <c r="G21" s="2"/>
    </row>
    <row r="22" customFormat="false" ht="13.45" hidden="false" customHeight="false" outlineLevel="0" collapsed="false">
      <c r="B22" s="2"/>
      <c r="C22" s="2"/>
      <c r="D22" s="2" t="s">
        <v>66</v>
      </c>
      <c r="E22" s="15" t="s">
        <v>41</v>
      </c>
      <c r="F22" s="2"/>
      <c r="G22" s="2"/>
    </row>
    <row r="23" customFormat="false" ht="13.45" hidden="false" customHeight="false" outlineLevel="0" collapsed="false">
      <c r="B23" s="2"/>
      <c r="C23" s="2" t="s">
        <v>67</v>
      </c>
      <c r="D23" s="2"/>
      <c r="E23" s="2"/>
      <c r="F23" s="2"/>
      <c r="G23" s="2"/>
    </row>
    <row r="24" customFormat="false" ht="13.45" hidden="false" customHeight="false" outlineLevel="0" collapsed="false">
      <c r="B24" s="2" t="s">
        <v>67</v>
      </c>
      <c r="C24" s="2"/>
      <c r="D24" s="2"/>
      <c r="E24" s="2"/>
      <c r="F24" s="2"/>
      <c r="G24" s="2"/>
    </row>
    <row r="25" customFormat="false" ht="13.45" hidden="false" customHeight="false" outlineLevel="0" collapsed="false">
      <c r="B25" s="2"/>
      <c r="C25" s="2"/>
      <c r="D25" s="2"/>
      <c r="E25" s="2"/>
      <c r="F25" s="2"/>
      <c r="G25" s="2"/>
    </row>
    <row r="26" customFormat="false" ht="13.45" hidden="false" customHeight="false" outlineLevel="0" collapsed="false">
      <c r="B26" s="12" t="s">
        <v>46</v>
      </c>
      <c r="C26" s="12" t="s">
        <v>63</v>
      </c>
      <c r="D26" s="12"/>
      <c r="E26" s="12"/>
      <c r="F26" s="12"/>
      <c r="G26" s="13"/>
    </row>
    <row r="27" customFormat="false" ht="13.45" hidden="false" customHeight="false" outlineLevel="0" collapsed="false">
      <c r="B27" s="2" t="s">
        <v>48</v>
      </c>
      <c r="C27" s="2" t="s">
        <v>68</v>
      </c>
      <c r="D27" s="2"/>
      <c r="E27" s="2"/>
      <c r="F27" s="2"/>
      <c r="G27" s="2"/>
    </row>
    <row r="28" customFormat="false" ht="13.45" hidden="false" customHeight="false" outlineLevel="0" collapsed="false">
      <c r="B28" s="2"/>
      <c r="C28" s="2" t="s">
        <v>52</v>
      </c>
      <c r="D28" s="15" t="s">
        <v>65</v>
      </c>
      <c r="E28" s="2"/>
      <c r="F28" s="2"/>
      <c r="G28" s="2"/>
    </row>
    <row r="29" customFormat="false" ht="13.45" hidden="false" customHeight="false" outlineLevel="0" collapsed="false">
      <c r="B29" s="2"/>
      <c r="C29" s="2" t="s">
        <v>57</v>
      </c>
      <c r="D29" s="2" t="s">
        <v>42</v>
      </c>
      <c r="E29" s="15" t="s">
        <v>69</v>
      </c>
      <c r="F29" s="2" t="s">
        <v>70</v>
      </c>
      <c r="G29" s="2"/>
    </row>
    <row r="30" customFormat="false" ht="13.45" hidden="false" customHeight="false" outlineLevel="0" collapsed="false">
      <c r="B30" s="2"/>
      <c r="C30" s="2" t="s">
        <v>52</v>
      </c>
      <c r="D30" s="2" t="s">
        <v>71</v>
      </c>
      <c r="E30" s="15"/>
      <c r="F30" s="2"/>
      <c r="G30" s="2"/>
    </row>
    <row r="31" customFormat="false" ht="13.45" hidden="false" customHeight="false" outlineLevel="0" collapsed="false">
      <c r="B31" s="2"/>
      <c r="C31" s="2" t="s">
        <v>62</v>
      </c>
      <c r="D31" s="2" t="s">
        <v>47</v>
      </c>
      <c r="E31" s="2"/>
      <c r="F31" s="2"/>
      <c r="G31" s="2"/>
    </row>
    <row r="32" customFormat="false" ht="13.45" hidden="false" customHeight="false" outlineLevel="0" collapsed="false">
      <c r="B32" s="2" t="s">
        <v>67</v>
      </c>
      <c r="C32" s="14"/>
      <c r="D32" s="14"/>
      <c r="E32" s="14"/>
      <c r="F32" s="14"/>
      <c r="G32" s="1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43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I30" activeCellId="0" sqref="I30"/>
    </sheetView>
  </sheetViews>
  <sheetFormatPr defaultColWidth="8.9296875" defaultRowHeight="13.45" customHeight="false" zeroHeight="false" outlineLevelRow="0" outlineLevelCol="0"/>
  <cols>
    <col collapsed="false" customWidth="true" hidden="false" outlineLevel="0" max="1" min="1" style="1" width="3.08"/>
    <col collapsed="false" customWidth="true" hidden="false" outlineLevel="0" max="2" min="2" style="1" width="7.75"/>
    <col collapsed="false" customWidth="true" hidden="false" outlineLevel="0" max="3" min="3" style="1" width="14.25"/>
    <col collapsed="false" customWidth="true" hidden="false" outlineLevel="0" max="4" min="4" style="1" width="21.58"/>
    <col collapsed="false" customWidth="true" hidden="false" outlineLevel="0" max="5" min="5" style="1" width="17.74"/>
    <col collapsed="false" customWidth="true" hidden="false" outlineLevel="0" max="6" min="6" style="1" width="13.46"/>
    <col collapsed="false" customWidth="true" hidden="false" outlineLevel="0" max="7" min="7" style="1" width="8.75"/>
    <col collapsed="false" customWidth="true" hidden="false" outlineLevel="0" max="9" min="8" style="1" width="13.46"/>
    <col collapsed="false" customWidth="true" hidden="false" outlineLevel="0" max="10" min="10" style="1" width="3.08"/>
    <col collapsed="false" customWidth="true" hidden="false" outlineLevel="0" max="11" min="11" style="1" width="14.25"/>
    <col collapsed="false" customWidth="false" hidden="false" outlineLevel="0" max="257" min="12" style="1" width="8.93"/>
  </cols>
  <sheetData>
    <row r="2" customFormat="false" ht="14.1" hidden="false" customHeight="false" outlineLevel="0" collapsed="false">
      <c r="A2" s="5"/>
      <c r="B2" s="6" t="s">
        <v>23</v>
      </c>
      <c r="C2" s="6" t="s">
        <v>10</v>
      </c>
      <c r="D2" s="6"/>
      <c r="E2" s="6"/>
      <c r="F2" s="6"/>
      <c r="G2" s="5"/>
      <c r="H2" s="5"/>
      <c r="I2" s="5"/>
      <c r="J2" s="5"/>
      <c r="K2" s="5"/>
      <c r="L2" s="5"/>
    </row>
    <row r="3" customFormat="false" ht="14.1" hidden="false" customHeight="false" outlineLevel="0" collapsed="false">
      <c r="A3" s="5"/>
      <c r="B3" s="5" t="s">
        <v>24</v>
      </c>
      <c r="C3" s="5" t="s">
        <v>25</v>
      </c>
      <c r="D3" s="5" t="str">
        <f aca="false">C2</f>
        <v>model</v>
      </c>
      <c r="E3" s="2" t="s">
        <v>26</v>
      </c>
      <c r="F3" s="5" t="s">
        <v>27</v>
      </c>
      <c r="G3" s="5"/>
      <c r="H3" s="6"/>
      <c r="I3" s="6"/>
      <c r="J3" s="6"/>
      <c r="K3" s="6"/>
      <c r="L3" s="5"/>
    </row>
    <row r="4" customFormat="false" ht="13.45" hidden="false" customHeight="false" outlineLevel="0" collapsed="false">
      <c r="A4" s="5"/>
      <c r="B4" s="16" t="s">
        <v>72</v>
      </c>
      <c r="C4" s="17" t="s">
        <v>73</v>
      </c>
      <c r="D4" s="18"/>
      <c r="E4" s="17"/>
      <c r="F4" s="17"/>
      <c r="G4" s="17"/>
      <c r="H4" s="17"/>
      <c r="I4" s="17"/>
      <c r="J4" s="17"/>
      <c r="K4" s="19"/>
      <c r="L4" s="5"/>
    </row>
    <row r="5" customFormat="false" ht="13.45" hidden="false" customHeight="false" outlineLevel="0" collapsed="false">
      <c r="A5" s="5"/>
      <c r="B5" s="20" t="s">
        <v>74</v>
      </c>
      <c r="C5" s="20" t="s">
        <v>33</v>
      </c>
      <c r="D5" s="20" t="s">
        <v>75</v>
      </c>
      <c r="E5" s="21" t="n">
        <v>1</v>
      </c>
      <c r="F5" s="22"/>
      <c r="G5" s="22"/>
      <c r="H5" s="23"/>
      <c r="I5" s="23"/>
      <c r="J5" s="22" t="s">
        <v>72</v>
      </c>
      <c r="K5" s="22" t="s">
        <v>76</v>
      </c>
      <c r="L5" s="5"/>
    </row>
    <row r="6" customFormat="false" ht="14.1" hidden="false" customHeight="false" outlineLevel="0" collapsed="false">
      <c r="A6" s="5"/>
      <c r="B6" s="20" t="s">
        <v>74</v>
      </c>
      <c r="C6" s="20" t="s">
        <v>77</v>
      </c>
      <c r="D6" s="20" t="s">
        <v>75</v>
      </c>
      <c r="E6" s="21" t="n">
        <v>1</v>
      </c>
      <c r="F6" s="22"/>
      <c r="G6" s="22"/>
      <c r="H6" s="23"/>
      <c r="I6" s="23"/>
      <c r="J6" s="22" t="s">
        <v>72</v>
      </c>
      <c r="K6" s="22" t="s">
        <v>78</v>
      </c>
      <c r="L6" s="5"/>
    </row>
    <row r="7" customFormat="false" ht="14.1" hidden="false" customHeight="false" outlineLevel="0" collapsed="false">
      <c r="A7" s="5"/>
      <c r="B7" s="16" t="s">
        <v>72</v>
      </c>
      <c r="C7" s="17" t="s">
        <v>79</v>
      </c>
      <c r="D7" s="18"/>
      <c r="E7" s="17"/>
      <c r="F7" s="17"/>
      <c r="G7" s="17"/>
      <c r="H7" s="17"/>
      <c r="I7" s="17"/>
      <c r="J7" s="17"/>
      <c r="K7" s="19"/>
      <c r="L7" s="5"/>
    </row>
    <row r="8" customFormat="false" ht="13.45" hidden="false" customHeight="false" outlineLevel="0" collapsed="false">
      <c r="A8" s="5"/>
      <c r="B8" s="20" t="s">
        <v>74</v>
      </c>
      <c r="C8" s="20" t="s">
        <v>80</v>
      </c>
      <c r="D8" s="20" t="s">
        <v>75</v>
      </c>
      <c r="E8" s="21" t="n">
        <v>1</v>
      </c>
      <c r="F8" s="22"/>
      <c r="G8" s="22"/>
      <c r="H8" s="23"/>
      <c r="I8" s="23"/>
      <c r="J8" s="22" t="s">
        <v>72</v>
      </c>
      <c r="K8" s="22" t="s">
        <v>81</v>
      </c>
      <c r="L8" s="5"/>
    </row>
    <row r="9" customFormat="false" ht="13.45" hidden="false" customHeight="false" outlineLevel="0" collapsed="false">
      <c r="A9" s="5"/>
      <c r="B9" s="20" t="s">
        <v>74</v>
      </c>
      <c r="C9" s="20" t="s">
        <v>82</v>
      </c>
      <c r="D9" s="20" t="s">
        <v>75</v>
      </c>
      <c r="E9" s="21" t="n">
        <v>32</v>
      </c>
      <c r="F9" s="22"/>
      <c r="G9" s="22"/>
      <c r="H9" s="23"/>
      <c r="I9" s="23"/>
      <c r="J9" s="22" t="s">
        <v>72</v>
      </c>
      <c r="K9" s="22" t="s">
        <v>83</v>
      </c>
      <c r="L9" s="5"/>
    </row>
    <row r="10" customFormat="false" ht="14.1" hidden="false" customHeight="false" outlineLevel="0" collapsed="false">
      <c r="A10" s="5"/>
      <c r="B10" s="20" t="s">
        <v>74</v>
      </c>
      <c r="C10" s="20" t="s">
        <v>84</v>
      </c>
      <c r="D10" s="20" t="s">
        <v>85</v>
      </c>
      <c r="E10" s="21" t="s">
        <v>30</v>
      </c>
      <c r="F10" s="22" t="s">
        <v>86</v>
      </c>
      <c r="G10" s="21" t="s">
        <v>15</v>
      </c>
      <c r="H10" s="24" t="s">
        <v>87</v>
      </c>
      <c r="I10" s="24"/>
      <c r="J10" s="22" t="s">
        <v>72</v>
      </c>
      <c r="K10" s="25" t="s">
        <v>88</v>
      </c>
      <c r="L10" s="5"/>
    </row>
    <row r="11" customFormat="false" ht="13.45" hidden="false" customHeight="false" outlineLevel="0" collapsed="false">
      <c r="A11" s="5"/>
      <c r="B11" s="16" t="s">
        <v>72</v>
      </c>
      <c r="C11" s="17" t="s">
        <v>89</v>
      </c>
      <c r="D11" s="18"/>
      <c r="E11" s="17"/>
      <c r="F11" s="17"/>
      <c r="G11" s="17"/>
      <c r="H11" s="17"/>
      <c r="I11" s="17"/>
      <c r="J11" s="17"/>
      <c r="K11" s="19"/>
      <c r="L11" s="5"/>
    </row>
    <row r="12" customFormat="false" ht="14.1" hidden="false" customHeight="false" outlineLevel="0" collapsed="false">
      <c r="A12" s="5"/>
      <c r="B12" s="20" t="s">
        <v>74</v>
      </c>
      <c r="C12" s="20" t="s">
        <v>90</v>
      </c>
      <c r="D12" s="20" t="s">
        <v>85</v>
      </c>
      <c r="E12" s="21" t="n">
        <v>1</v>
      </c>
      <c r="F12" s="22" t="s">
        <v>86</v>
      </c>
      <c r="G12" s="22" t="s">
        <v>15</v>
      </c>
      <c r="H12" s="24" t="s">
        <v>87</v>
      </c>
      <c r="I12" s="24"/>
      <c r="J12" s="22" t="s">
        <v>72</v>
      </c>
      <c r="K12" s="22" t="s">
        <v>81</v>
      </c>
      <c r="L12" s="5"/>
    </row>
    <row r="13" customFormat="false" ht="14.1" hidden="false" customHeight="false" outlineLevel="0" collapsed="false">
      <c r="A13" s="5"/>
      <c r="B13" s="20" t="s">
        <v>74</v>
      </c>
      <c r="C13" s="20" t="s">
        <v>91</v>
      </c>
      <c r="D13" s="20" t="s">
        <v>85</v>
      </c>
      <c r="E13" s="21" t="s">
        <v>92</v>
      </c>
      <c r="F13" s="22" t="s">
        <v>86</v>
      </c>
      <c r="G13" s="22" t="s">
        <v>15</v>
      </c>
      <c r="H13" s="24" t="s">
        <v>93</v>
      </c>
      <c r="I13" s="24"/>
      <c r="J13" s="22" t="s">
        <v>72</v>
      </c>
      <c r="K13" s="22" t="s">
        <v>94</v>
      </c>
      <c r="L13" s="5"/>
    </row>
    <row r="14" customFormat="false" ht="14.1" hidden="false" customHeight="false" outlineLevel="0" collapsed="false">
      <c r="A14" s="5"/>
      <c r="B14" s="20" t="s">
        <v>74</v>
      </c>
      <c r="C14" s="20" t="s">
        <v>95</v>
      </c>
      <c r="D14" s="20" t="s">
        <v>85</v>
      </c>
      <c r="E14" s="21" t="s">
        <v>92</v>
      </c>
      <c r="F14" s="22" t="s">
        <v>86</v>
      </c>
      <c r="G14" s="22" t="s">
        <v>15</v>
      </c>
      <c r="H14" s="24" t="s">
        <v>93</v>
      </c>
      <c r="I14" s="24" t="s">
        <v>96</v>
      </c>
      <c r="J14" s="22" t="s">
        <v>72</v>
      </c>
      <c r="K14" s="22" t="s">
        <v>97</v>
      </c>
      <c r="L14" s="5"/>
    </row>
    <row r="15" customFormat="false" ht="14.1" hidden="false" customHeight="false" outlineLevel="0" collapsed="false">
      <c r="A15" s="5"/>
      <c r="B15" s="20" t="s">
        <v>74</v>
      </c>
      <c r="C15" s="20" t="s">
        <v>98</v>
      </c>
      <c r="D15" s="20" t="s">
        <v>99</v>
      </c>
      <c r="E15" s="21" t="n">
        <v>1</v>
      </c>
      <c r="F15" s="20"/>
      <c r="G15" s="20"/>
      <c r="H15" s="20"/>
      <c r="I15" s="20"/>
      <c r="J15" s="22" t="s">
        <v>72</v>
      </c>
      <c r="K15" s="22" t="s">
        <v>88</v>
      </c>
      <c r="L15" s="5"/>
    </row>
    <row r="16" customFormat="false" ht="13.4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customFormat="false" ht="13.45" hidden="false" customHeight="false" outlineLevel="0" collapsed="false">
      <c r="A17" s="2"/>
      <c r="B17" s="16" t="s">
        <v>72</v>
      </c>
      <c r="C17" s="17" t="s">
        <v>100</v>
      </c>
      <c r="D17" s="18"/>
      <c r="E17" s="17"/>
      <c r="F17" s="17"/>
      <c r="G17" s="17"/>
      <c r="H17" s="17"/>
      <c r="I17" s="17"/>
      <c r="J17" s="17"/>
      <c r="K17" s="19"/>
      <c r="L17" s="2"/>
    </row>
    <row r="18" customFormat="false" ht="14.1" hidden="false" customHeight="false" outlineLevel="0" collapsed="false">
      <c r="A18" s="26"/>
      <c r="B18" s="24" t="s">
        <v>31</v>
      </c>
      <c r="C18" s="21" t="s">
        <v>101</v>
      </c>
      <c r="D18" s="21" t="s">
        <v>39</v>
      </c>
      <c r="E18" s="22" t="s">
        <v>15</v>
      </c>
      <c r="F18" s="24" t="s">
        <v>93</v>
      </c>
      <c r="G18" s="24"/>
      <c r="H18" s="24"/>
      <c r="I18" s="24"/>
      <c r="J18" s="24" t="s">
        <v>72</v>
      </c>
      <c r="K18" s="24" t="s">
        <v>94</v>
      </c>
      <c r="L18" s="2"/>
    </row>
    <row r="19" customFormat="false" ht="14.1" hidden="false" customHeight="false" outlineLevel="0" collapsed="false">
      <c r="A19" s="26"/>
      <c r="B19" s="24" t="s">
        <v>31</v>
      </c>
      <c r="C19" s="21" t="s">
        <v>102</v>
      </c>
      <c r="D19" s="21" t="s">
        <v>92</v>
      </c>
      <c r="E19" s="22" t="s">
        <v>15</v>
      </c>
      <c r="F19" s="24" t="s">
        <v>103</v>
      </c>
      <c r="G19" s="24" t="s">
        <v>93</v>
      </c>
      <c r="H19" s="24"/>
      <c r="I19" s="24"/>
      <c r="J19" s="24" t="s">
        <v>72</v>
      </c>
      <c r="K19" s="24" t="s">
        <v>94</v>
      </c>
      <c r="L19" s="2"/>
    </row>
    <row r="20" customFormat="false" ht="13.4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customFormat="false" ht="14.1" hidden="false" customHeight="false" outlineLevel="0" collapsed="false">
      <c r="A21" s="5"/>
      <c r="B21" s="27" t="s">
        <v>104</v>
      </c>
      <c r="C21" s="28" t="s">
        <v>105</v>
      </c>
      <c r="D21" s="28" t="s">
        <v>15</v>
      </c>
      <c r="E21" s="29" t="s">
        <v>106</v>
      </c>
      <c r="F21" s="30"/>
      <c r="G21" s="5"/>
      <c r="H21" s="5"/>
      <c r="I21" s="5"/>
      <c r="J21" s="5"/>
      <c r="K21" s="5"/>
      <c r="L21" s="5"/>
    </row>
    <row r="22" customFormat="false" ht="14.1" hidden="false" customHeight="false" outlineLevel="0" collapsed="false">
      <c r="A22" s="5"/>
      <c r="B22" s="31" t="s">
        <v>46</v>
      </c>
      <c r="C22" s="32" t="s">
        <v>107</v>
      </c>
      <c r="D22" s="32"/>
      <c r="E22" s="32"/>
      <c r="F22" s="33"/>
      <c r="G22" s="5"/>
      <c r="H22" s="5"/>
      <c r="I22" s="5"/>
      <c r="J22" s="5"/>
      <c r="K22" s="5"/>
      <c r="L22" s="5"/>
    </row>
    <row r="23" customFormat="false" ht="14.1" hidden="false" customHeight="false" outlineLevel="0" collapsed="false">
      <c r="A23" s="5"/>
      <c r="B23" s="5" t="s">
        <v>48</v>
      </c>
      <c r="C23" s="5" t="s">
        <v>108</v>
      </c>
      <c r="D23" s="5"/>
      <c r="E23" s="5"/>
      <c r="F23" s="5"/>
      <c r="G23" s="5"/>
      <c r="H23" s="5"/>
      <c r="I23" s="5"/>
      <c r="J23" s="5"/>
      <c r="K23" s="5"/>
      <c r="L23" s="5"/>
    </row>
    <row r="24" customFormat="false" ht="14.1" hidden="false" customHeight="false" outlineLevel="0" collapsed="false">
      <c r="A24" s="5"/>
      <c r="B24" s="5"/>
      <c r="C24" s="5" t="s">
        <v>109</v>
      </c>
      <c r="D24" s="5" t="s">
        <v>110</v>
      </c>
      <c r="E24" s="5"/>
      <c r="F24" s="5"/>
      <c r="G24" s="5"/>
      <c r="H24" s="5"/>
      <c r="I24" s="5"/>
      <c r="J24" s="5"/>
      <c r="K24" s="5"/>
      <c r="L24" s="5"/>
    </row>
    <row r="25" customFormat="false" ht="14.1" hidden="false" customHeight="false" outlineLevel="0" collapsed="false">
      <c r="A25" s="5"/>
      <c r="B25" s="5"/>
      <c r="C25" s="5" t="s">
        <v>111</v>
      </c>
      <c r="D25" s="5" t="s">
        <v>112</v>
      </c>
      <c r="E25" s="5"/>
      <c r="F25" s="5"/>
      <c r="G25" s="5"/>
      <c r="H25" s="5"/>
      <c r="I25" s="5"/>
      <c r="J25" s="5"/>
      <c r="K25" s="5"/>
      <c r="L25" s="5"/>
    </row>
    <row r="26" customFormat="false" ht="14.1" hidden="false" customHeight="false" outlineLevel="0" collapsed="false">
      <c r="A26" s="5"/>
      <c r="B26" s="5" t="s">
        <v>113</v>
      </c>
      <c r="C26" s="5"/>
      <c r="D26" s="5"/>
      <c r="E26" s="5"/>
      <c r="F26" s="5"/>
      <c r="G26" s="5"/>
      <c r="H26" s="5"/>
      <c r="I26" s="5"/>
      <c r="J26" s="5"/>
      <c r="K26" s="5"/>
      <c r="L26" s="5"/>
    </row>
    <row r="27" customFormat="false" ht="14.1" hidden="false" customHeight="false" outlineLevel="0" collapsed="false">
      <c r="A27" s="5"/>
      <c r="B27" s="31" t="s">
        <v>46</v>
      </c>
      <c r="C27" s="32" t="s">
        <v>112</v>
      </c>
      <c r="D27" s="32"/>
      <c r="E27" s="32"/>
      <c r="F27" s="33"/>
      <c r="G27" s="5"/>
      <c r="H27" s="5"/>
      <c r="I27" s="5"/>
      <c r="J27" s="5"/>
      <c r="K27" s="5"/>
      <c r="L27" s="5"/>
    </row>
    <row r="28" customFormat="false" ht="14.1" hidden="false" customHeight="false" outlineLevel="0" collapsed="false">
      <c r="A28" s="5"/>
      <c r="B28" s="5" t="s">
        <v>109</v>
      </c>
      <c r="C28" s="5" t="s">
        <v>114</v>
      </c>
      <c r="D28" s="5"/>
      <c r="E28" s="5"/>
      <c r="F28" s="5"/>
      <c r="G28" s="5"/>
      <c r="H28" s="5"/>
      <c r="I28" s="5"/>
      <c r="J28" s="5"/>
      <c r="K28" s="5"/>
      <c r="L28" s="5"/>
    </row>
    <row r="29" customFormat="false" ht="14.1" hidden="false" customHeight="false" outlineLevel="0" collapsed="false">
      <c r="A29" s="5"/>
      <c r="B29" s="5" t="s">
        <v>109</v>
      </c>
      <c r="C29" s="5" t="s">
        <v>115</v>
      </c>
      <c r="D29" s="5"/>
      <c r="E29" s="5"/>
      <c r="F29" s="5"/>
      <c r="G29" s="5"/>
      <c r="H29" s="5"/>
      <c r="I29" s="5"/>
      <c r="J29" s="5"/>
      <c r="K29" s="5"/>
      <c r="L29" s="5"/>
    </row>
    <row r="30" customFormat="false" ht="14.1" hidden="false" customHeight="false" outlineLevel="0" collapsed="false">
      <c r="A30" s="5"/>
      <c r="B30" s="5" t="s">
        <v>116</v>
      </c>
      <c r="C30" s="5" t="s">
        <v>117</v>
      </c>
      <c r="D30" s="5" t="s">
        <v>118</v>
      </c>
      <c r="E30" s="5" t="s">
        <v>119</v>
      </c>
      <c r="F30" s="5"/>
      <c r="G30" s="5"/>
      <c r="H30" s="5"/>
      <c r="I30" s="5"/>
      <c r="J30" s="5"/>
      <c r="K30" s="5"/>
      <c r="L30" s="5"/>
    </row>
    <row r="31" customFormat="false" ht="14.1" hidden="false" customHeight="false" outlineLevel="0" collapsed="false">
      <c r="A31" s="5"/>
      <c r="B31" s="5" t="s">
        <v>111</v>
      </c>
      <c r="C31" s="5" t="s">
        <v>120</v>
      </c>
      <c r="D31" s="5"/>
      <c r="E31" s="5"/>
      <c r="F31" s="5"/>
      <c r="G31" s="5"/>
      <c r="H31" s="5"/>
      <c r="I31" s="5"/>
      <c r="J31" s="5"/>
      <c r="K31" s="5"/>
      <c r="L31" s="5"/>
    </row>
    <row r="32" customFormat="false" ht="13.4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customFormat="false" ht="14.1" hidden="false" customHeight="false" outlineLevel="0" collapsed="false">
      <c r="A33" s="5"/>
      <c r="B33" s="31" t="s">
        <v>46</v>
      </c>
      <c r="C33" s="32" t="s">
        <v>120</v>
      </c>
      <c r="D33" s="32"/>
      <c r="E33" s="32"/>
      <c r="F33" s="33"/>
      <c r="G33" s="5"/>
      <c r="H33" s="5"/>
      <c r="I33" s="5"/>
      <c r="J33" s="5"/>
      <c r="K33" s="5"/>
      <c r="L33" s="5"/>
    </row>
    <row r="34" customFormat="false" ht="14.1" hidden="false" customHeight="false" outlineLevel="0" collapsed="false">
      <c r="A34" s="5"/>
      <c r="B34" s="5" t="s">
        <v>121</v>
      </c>
      <c r="C34" s="5" t="s">
        <v>122</v>
      </c>
      <c r="D34" s="5"/>
      <c r="E34" s="5"/>
      <c r="F34" s="5"/>
      <c r="G34" s="5"/>
      <c r="H34" s="5"/>
      <c r="I34" s="5"/>
      <c r="J34" s="5"/>
      <c r="K34" s="5"/>
      <c r="L34" s="5"/>
    </row>
    <row r="35" customFormat="false" ht="14.1" hidden="false" customHeight="false" outlineLevel="0" collapsed="false">
      <c r="A35" s="5"/>
      <c r="B35" s="5"/>
      <c r="C35" s="5" t="s">
        <v>116</v>
      </c>
      <c r="D35" s="5" t="s">
        <v>123</v>
      </c>
      <c r="E35" s="5" t="s">
        <v>118</v>
      </c>
      <c r="F35" s="5" t="s">
        <v>119</v>
      </c>
      <c r="G35" s="5"/>
      <c r="H35" s="5"/>
      <c r="I35" s="5"/>
      <c r="J35" s="5"/>
      <c r="K35" s="5"/>
      <c r="L35" s="5"/>
    </row>
    <row r="36" customFormat="false" ht="14.1" hidden="false" customHeight="false" outlineLevel="0" collapsed="false">
      <c r="A36" s="5"/>
      <c r="C36" s="5" t="s">
        <v>109</v>
      </c>
      <c r="D36" s="5" t="s">
        <v>124</v>
      </c>
      <c r="E36" s="5"/>
      <c r="F36" s="5"/>
      <c r="G36" s="5"/>
      <c r="H36" s="5"/>
      <c r="I36" s="5"/>
      <c r="J36" s="5"/>
      <c r="K36" s="5"/>
      <c r="L36" s="5"/>
    </row>
    <row r="37" customFormat="false" ht="14.1" hidden="false" customHeight="false" outlineLevel="0" collapsed="false">
      <c r="A37" s="5"/>
      <c r="C37" s="5" t="s">
        <v>109</v>
      </c>
      <c r="D37" s="5" t="s">
        <v>125</v>
      </c>
      <c r="E37" s="5"/>
      <c r="F37" s="5"/>
      <c r="G37" s="5"/>
      <c r="H37" s="5"/>
      <c r="I37" s="5"/>
      <c r="J37" s="5"/>
      <c r="K37" s="5"/>
      <c r="L37" s="5"/>
    </row>
    <row r="38" customFormat="false" ht="14.1" hidden="false" customHeight="false" outlineLevel="0" collapsed="false">
      <c r="A38" s="5"/>
      <c r="B38" s="5"/>
      <c r="C38" s="5" t="s">
        <v>111</v>
      </c>
      <c r="D38" s="5" t="s">
        <v>126</v>
      </c>
      <c r="E38" s="5"/>
      <c r="F38" s="5"/>
      <c r="G38" s="5"/>
      <c r="H38" s="5"/>
      <c r="I38" s="5"/>
      <c r="J38" s="5"/>
      <c r="K38" s="5"/>
      <c r="L38" s="5"/>
    </row>
    <row r="39" customFormat="false" ht="14.1" hidden="false" customHeight="false" outlineLevel="0" collapsed="false">
      <c r="A39" s="5"/>
      <c r="B39" s="5" t="s">
        <v>113</v>
      </c>
      <c r="C39" s="5"/>
      <c r="D39" s="5"/>
      <c r="E39" s="5"/>
      <c r="F39" s="5"/>
      <c r="G39" s="5"/>
      <c r="H39" s="5"/>
      <c r="I39" s="5"/>
      <c r="J39" s="5"/>
      <c r="K39" s="5"/>
      <c r="L39" s="5"/>
    </row>
    <row r="40" customFormat="false" ht="13.4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customFormat="false" ht="14.1" hidden="false" customHeight="false" outlineLevel="0" collapsed="false">
      <c r="A41" s="5"/>
      <c r="B41" s="31" t="s">
        <v>46</v>
      </c>
      <c r="C41" s="32" t="s">
        <v>126</v>
      </c>
      <c r="D41" s="32"/>
      <c r="E41" s="32"/>
      <c r="F41" s="33"/>
      <c r="G41" s="5"/>
      <c r="H41" s="5"/>
      <c r="I41" s="5"/>
      <c r="J41" s="5"/>
      <c r="K41" s="5"/>
      <c r="L41" s="5"/>
    </row>
    <row r="42" customFormat="false" ht="14.1" hidden="false" customHeight="false" outlineLevel="0" collapsed="false">
      <c r="A42" s="5"/>
      <c r="B42" s="5" t="s">
        <v>111</v>
      </c>
      <c r="C42" s="5" t="s">
        <v>107</v>
      </c>
      <c r="D42" s="5"/>
      <c r="E42" s="5"/>
      <c r="F42" s="5"/>
      <c r="G42" s="5"/>
      <c r="H42" s="5"/>
      <c r="I42" s="5"/>
      <c r="J42" s="5"/>
      <c r="K42" s="5"/>
      <c r="L42" s="5"/>
    </row>
    <row r="43" customFormat="false" ht="13.4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2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G13" activeCellId="0" sqref="G13"/>
    </sheetView>
  </sheetViews>
  <sheetFormatPr defaultColWidth="8.9296875" defaultRowHeight="15.8" customHeight="false" zeroHeight="false" outlineLevelRow="0" outlineLevelCol="0"/>
  <cols>
    <col collapsed="false" customWidth="true" hidden="false" outlineLevel="0" max="1" min="1" style="34" width="3.08"/>
    <col collapsed="false" customWidth="true" hidden="false" outlineLevel="0" max="2" min="2" style="1" width="11.75"/>
    <col collapsed="false" customWidth="true" hidden="false" outlineLevel="0" max="3" min="3" style="1" width="13.75"/>
    <col collapsed="false" customWidth="true" hidden="false" outlineLevel="0" max="4" min="4" style="1" width="27.03"/>
    <col collapsed="false" customWidth="true" hidden="false" outlineLevel="0" max="5" min="5" style="1" width="3.06"/>
    <col collapsed="false" customWidth="false" hidden="false" outlineLevel="0" max="6" min="6" style="34" width="8.93"/>
    <col collapsed="false" customWidth="false" hidden="false" outlineLevel="0" max="257" min="13" style="34" width="8.93"/>
  </cols>
  <sheetData>
    <row r="2" customFormat="false" ht="15.8" hidden="false" customHeight="false" outlineLevel="0" collapsed="false">
      <c r="A2" s="35"/>
      <c r="B2" s="6" t="s">
        <v>23</v>
      </c>
      <c r="C2" s="6" t="s">
        <v>21</v>
      </c>
      <c r="D2" s="6"/>
      <c r="E2" s="6"/>
      <c r="F2" s="35"/>
    </row>
    <row r="3" customFormat="false" ht="15.8" hidden="false" customHeight="false" outlineLevel="0" collapsed="false">
      <c r="A3" s="35"/>
      <c r="B3" s="5"/>
      <c r="C3" s="5"/>
      <c r="D3" s="5"/>
      <c r="E3" s="2"/>
      <c r="F3" s="35"/>
    </row>
    <row r="4" customFormat="false" ht="15.8" hidden="false" customHeight="false" outlineLevel="0" collapsed="false">
      <c r="A4" s="35"/>
      <c r="B4" s="16" t="s">
        <v>72</v>
      </c>
      <c r="C4" s="17" t="s">
        <v>73</v>
      </c>
      <c r="D4" s="18"/>
      <c r="E4" s="19"/>
      <c r="F4" s="35"/>
    </row>
    <row r="5" customFormat="false" ht="15.8" hidden="false" customHeight="false" outlineLevel="0" collapsed="false">
      <c r="A5" s="35"/>
      <c r="B5" s="20" t="s">
        <v>74</v>
      </c>
      <c r="C5" s="20" t="s">
        <v>33</v>
      </c>
      <c r="D5" s="20" t="s">
        <v>75</v>
      </c>
      <c r="E5" s="21" t="n">
        <v>1</v>
      </c>
      <c r="F5" s="35"/>
    </row>
    <row r="7" customFormat="false" ht="15.8" hidden="false" customHeight="false" outlineLevel="0" collapsed="false">
      <c r="B7" s="1" t="s">
        <v>127</v>
      </c>
      <c r="C7" s="1" t="s">
        <v>33</v>
      </c>
      <c r="D7" s="1" t="s">
        <v>128</v>
      </c>
    </row>
    <row r="8" customFormat="false" ht="15.8" hidden="false" customHeight="false" outlineLevel="0" collapsed="false">
      <c r="B8" s="1" t="s">
        <v>127</v>
      </c>
      <c r="C8" s="1" t="s">
        <v>33</v>
      </c>
      <c r="D8" s="1" t="s">
        <v>129</v>
      </c>
    </row>
    <row r="9" customFormat="false" ht="15.8" hidden="false" customHeight="false" outlineLevel="0" collapsed="false">
      <c r="B9" s="1" t="s">
        <v>127</v>
      </c>
      <c r="C9" s="1" t="s">
        <v>33</v>
      </c>
      <c r="D9" s="1" t="s">
        <v>130</v>
      </c>
    </row>
    <row r="10" customFormat="false" ht="15.8" hidden="false" customHeight="false" outlineLevel="0" collapsed="false">
      <c r="B10" s="1" t="s">
        <v>127</v>
      </c>
      <c r="C10" s="1" t="s">
        <v>33</v>
      </c>
      <c r="D10" s="1" t="s">
        <v>131</v>
      </c>
    </row>
    <row r="11" customFormat="false" ht="15.8" hidden="false" customHeight="false" outlineLevel="0" collapsed="false">
      <c r="B11" s="1" t="s">
        <v>127</v>
      </c>
      <c r="C11" s="1" t="s">
        <v>33</v>
      </c>
      <c r="D11" s="1" t="s">
        <v>132</v>
      </c>
    </row>
    <row r="12" customFormat="false" ht="15.8" hidden="false" customHeight="false" outlineLevel="0" collapsed="false">
      <c r="B12" s="1" t="s">
        <v>127</v>
      </c>
      <c r="C12" s="1" t="s">
        <v>33</v>
      </c>
      <c r="D12" s="1" t="s">
        <v>133</v>
      </c>
    </row>
    <row r="15" customFormat="false" ht="15.8" hidden="false" customHeight="false" outlineLevel="0" collapsed="false">
      <c r="B15" s="36" t="s">
        <v>72</v>
      </c>
      <c r="C15" s="29" t="s">
        <v>134</v>
      </c>
      <c r="D15" s="29"/>
      <c r="E15" s="37"/>
    </row>
    <row r="16" customFormat="false" ht="15.8" hidden="false" customHeight="false" outlineLevel="0" collapsed="false">
      <c r="B16" s="38" t="s">
        <v>135</v>
      </c>
      <c r="C16" s="38"/>
      <c r="D16" s="38"/>
      <c r="E16" s="38"/>
    </row>
    <row r="17" customFormat="false" ht="15.8" hidden="false" customHeight="false" outlineLevel="0" collapsed="false">
      <c r="B17" s="38" t="s">
        <v>136</v>
      </c>
      <c r="C17" s="38" t="s">
        <v>137</v>
      </c>
      <c r="D17" s="38"/>
      <c r="E17" s="38"/>
    </row>
    <row r="18" customFormat="false" ht="15.8" hidden="false" customHeight="false" outlineLevel="0" collapsed="false">
      <c r="B18" s="2" t="s">
        <v>138</v>
      </c>
      <c r="C18" s="39"/>
      <c r="D18" s="2"/>
      <c r="E18" s="2"/>
    </row>
    <row r="19" customFormat="false" ht="15.8" hidden="false" customHeight="false" outlineLevel="0" collapsed="false">
      <c r="B19" s="2" t="s">
        <v>136</v>
      </c>
      <c r="C19" s="39" t="s">
        <v>139</v>
      </c>
      <c r="D19" s="2"/>
      <c r="E19" s="2"/>
    </row>
    <row r="20" customFormat="false" ht="15.8" hidden="false" customHeight="false" outlineLevel="0" collapsed="false">
      <c r="B20" s="2" t="s">
        <v>138</v>
      </c>
      <c r="C20" s="39"/>
      <c r="D20" s="2"/>
      <c r="E20" s="2"/>
    </row>
    <row r="21" customFormat="false" ht="15.8" hidden="false" customHeight="false" outlineLevel="0" collapsed="false">
      <c r="B21" s="2" t="s">
        <v>136</v>
      </c>
      <c r="C21" s="39" t="s">
        <v>140</v>
      </c>
      <c r="D21" s="2"/>
      <c r="E21" s="2"/>
    </row>
    <row r="22" customFormat="false" ht="15.8" hidden="false" customHeight="false" outlineLevel="0" collapsed="false">
      <c r="B22" s="2" t="s">
        <v>136</v>
      </c>
      <c r="C22" s="2" t="s">
        <v>141</v>
      </c>
      <c r="D22" s="2"/>
      <c r="E22" s="40"/>
    </row>
    <row r="23" customFormat="false" ht="15.8" hidden="false" customHeight="false" outlineLevel="0" collapsed="false">
      <c r="B23" s="2" t="s">
        <v>136</v>
      </c>
      <c r="C23" s="2" t="s">
        <v>141</v>
      </c>
      <c r="D23" s="2"/>
      <c r="E23" s="2"/>
    </row>
    <row r="24" customFormat="false" ht="15.8" hidden="false" customHeight="false" outlineLevel="0" collapsed="false">
      <c r="B24" s="16" t="s">
        <v>72</v>
      </c>
      <c r="C24" s="17" t="s">
        <v>142</v>
      </c>
      <c r="D24" s="17"/>
      <c r="E24" s="19"/>
    </row>
    <row r="25" customFormat="false" ht="15.8" hidden="false" customHeight="false" outlineLevel="0" collapsed="false">
      <c r="B25" s="2" t="s">
        <v>136</v>
      </c>
      <c r="C25" s="2" t="s">
        <v>143</v>
      </c>
      <c r="D25" s="2"/>
      <c r="E25" s="2"/>
    </row>
    <row r="26" customFormat="false" ht="15.8" hidden="false" customHeight="false" outlineLevel="0" collapsed="false">
      <c r="B26" s="2" t="s">
        <v>136</v>
      </c>
      <c r="C26" s="2" t="s">
        <v>141</v>
      </c>
      <c r="D26" s="2"/>
      <c r="E26" s="2"/>
    </row>
    <row r="27" customFormat="false" ht="15.8" hidden="false" customHeight="false" outlineLevel="0" collapsed="false">
      <c r="B27" s="2" t="s">
        <v>136</v>
      </c>
      <c r="C27" s="39" t="s">
        <v>144</v>
      </c>
      <c r="D27" s="2"/>
      <c r="E27" s="2"/>
    </row>
    <row r="28" customFormat="false" ht="15.8" hidden="false" customHeight="false" outlineLevel="0" collapsed="false">
      <c r="B28" s="2" t="s">
        <v>145</v>
      </c>
      <c r="C28" s="39"/>
      <c r="D28" s="2"/>
      <c r="E28" s="2"/>
    </row>
    <row r="29" customFormat="false" ht="15.8" hidden="false" customHeight="false" outlineLevel="0" collapsed="false">
      <c r="B29" s="2" t="s">
        <v>136</v>
      </c>
      <c r="C29" s="41" t="s">
        <v>146</v>
      </c>
      <c r="D29" s="2"/>
      <c r="E29" s="4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O7" activeCellId="0" sqref="O7"/>
    </sheetView>
  </sheetViews>
  <sheetFormatPr defaultColWidth="8.9296875" defaultRowHeight="13.45" customHeight="false" zeroHeight="false" outlineLevelRow="0" outlineLevelCol="0"/>
  <cols>
    <col collapsed="false" customWidth="true" hidden="false" outlineLevel="0" max="1" min="1" style="1" width="3.25"/>
    <col collapsed="false" customWidth="true" hidden="false" outlineLevel="0" max="2" min="2" style="1" width="7.83"/>
    <col collapsed="false" customWidth="true" hidden="false" outlineLevel="0" max="3" min="3" style="1" width="8.58"/>
    <col collapsed="false" customWidth="true" hidden="false" outlineLevel="0" max="4" min="4" style="1" width="14.46"/>
    <col collapsed="false" customWidth="true" hidden="false" outlineLevel="0" max="5" min="5" style="1" width="10.83"/>
    <col collapsed="false" customWidth="true" hidden="false" outlineLevel="0" max="6" min="6" style="1" width="9.58"/>
    <col collapsed="false" customWidth="true" hidden="false" outlineLevel="0" max="7" min="7" style="1" width="13.58"/>
    <col collapsed="false" customWidth="true" hidden="false" outlineLevel="0" max="8" min="8" style="1" width="13.25"/>
    <col collapsed="false" customWidth="false" hidden="false" outlineLevel="0" max="257" min="9" style="1" width="8.93"/>
  </cols>
  <sheetData>
    <row r="2" customFormat="false" ht="13.45" hidden="false" customHeight="false" outlineLevel="0" collapsed="false">
      <c r="A2" s="2"/>
      <c r="B2" s="2" t="s">
        <v>23</v>
      </c>
      <c r="C2" s="2" t="s">
        <v>33</v>
      </c>
      <c r="D2" s="38"/>
      <c r="E2" s="2"/>
      <c r="F2" s="2"/>
      <c r="G2" s="2"/>
      <c r="H2" s="2"/>
      <c r="I2" s="2"/>
      <c r="J2" s="2"/>
      <c r="K2" s="2"/>
    </row>
    <row r="3" customFormat="false" ht="13.45" hidden="false" customHeight="false" outlineLevel="0" collapsed="false">
      <c r="A3" s="5"/>
      <c r="B3" s="16" t="s">
        <v>72</v>
      </c>
      <c r="C3" s="17" t="s">
        <v>147</v>
      </c>
      <c r="D3" s="18"/>
      <c r="E3" s="17"/>
      <c r="F3" s="17"/>
      <c r="G3" s="17"/>
      <c r="H3" s="19"/>
      <c r="I3" s="2"/>
      <c r="J3" s="2"/>
      <c r="K3" s="2"/>
    </row>
    <row r="4" customFormat="false" ht="14.1" hidden="false" customHeight="false" outlineLevel="0" collapsed="false">
      <c r="A4" s="5"/>
      <c r="B4" s="20" t="s">
        <v>74</v>
      </c>
      <c r="C4" s="20" t="s">
        <v>33</v>
      </c>
      <c r="D4" s="20" t="s">
        <v>85</v>
      </c>
      <c r="E4" s="21" t="n">
        <v>1</v>
      </c>
      <c r="F4" s="22" t="s">
        <v>148</v>
      </c>
      <c r="G4" s="22" t="s">
        <v>72</v>
      </c>
      <c r="H4" s="22" t="s">
        <v>149</v>
      </c>
      <c r="I4" s="2"/>
      <c r="J4" s="2"/>
      <c r="K4" s="2"/>
    </row>
    <row r="5" customFormat="false" ht="14.1" hidden="false" customHeight="false" outlineLevel="0" collapsed="false">
      <c r="A5" s="5"/>
      <c r="B5" s="20" t="s">
        <v>74</v>
      </c>
      <c r="C5" s="20" t="s">
        <v>150</v>
      </c>
      <c r="D5" s="20" t="s">
        <v>85</v>
      </c>
      <c r="E5" s="21" t="n">
        <v>1</v>
      </c>
      <c r="F5" s="22" t="s">
        <v>148</v>
      </c>
      <c r="G5" s="22" t="s">
        <v>72</v>
      </c>
      <c r="H5" s="22" t="s">
        <v>151</v>
      </c>
      <c r="I5" s="2"/>
      <c r="J5" s="2"/>
      <c r="K5" s="2"/>
    </row>
    <row r="6" customFormat="false" ht="13.45" hidden="false" customHeight="false" outlineLevel="0" collapsed="false">
      <c r="A6" s="2"/>
      <c r="B6" s="2"/>
      <c r="C6" s="2"/>
      <c r="D6" s="38"/>
      <c r="E6" s="2"/>
      <c r="F6" s="2"/>
      <c r="G6" s="2"/>
      <c r="H6" s="2"/>
    </row>
    <row r="7" customFormat="false" ht="14.1" hidden="false" customHeight="false" outlineLevel="0" collapsed="false">
      <c r="A7" s="2"/>
      <c r="B7" s="42" t="s">
        <v>72</v>
      </c>
      <c r="C7" s="42" t="s">
        <v>152</v>
      </c>
      <c r="D7" s="42" t="s">
        <v>153</v>
      </c>
      <c r="E7" s="42" t="s">
        <v>154</v>
      </c>
      <c r="F7" s="42" t="s">
        <v>155</v>
      </c>
      <c r="G7" s="42" t="s">
        <v>156</v>
      </c>
      <c r="H7" s="42" t="s">
        <v>157</v>
      </c>
    </row>
    <row r="8" customFormat="false" ht="13.45" hidden="false" customHeight="false" outlineLevel="0" collapsed="false">
      <c r="A8" s="2"/>
      <c r="B8" s="24" t="s">
        <v>158</v>
      </c>
      <c r="C8" s="43" t="str">
        <f aca="false">CONCATENATE("_",H8)</f>
        <v>_clk</v>
      </c>
      <c r="D8" s="24" t="n">
        <v>3000</v>
      </c>
      <c r="E8" s="24" t="n">
        <v>500</v>
      </c>
      <c r="F8" s="24" t="n">
        <f aca="false">D8/2</f>
        <v>1500</v>
      </c>
      <c r="G8" s="24" t="n">
        <v>0</v>
      </c>
      <c r="H8" s="24" t="s">
        <v>33</v>
      </c>
    </row>
    <row r="9" customFormat="false" ht="13.45" hidden="false" customHeight="false" outlineLevel="0" collapsed="false">
      <c r="A9" s="2"/>
      <c r="B9" s="24" t="s">
        <v>158</v>
      </c>
      <c r="C9" s="43" t="str">
        <f aca="false">CONCATENATE("_",H9)</f>
        <v>_clko</v>
      </c>
      <c r="D9" s="24" t="n">
        <v>3000</v>
      </c>
      <c r="E9" s="24" t="n">
        <v>550</v>
      </c>
      <c r="F9" s="24" t="n">
        <f aca="false">D9/2</f>
        <v>1500</v>
      </c>
      <c r="G9" s="24" t="n">
        <v>0</v>
      </c>
      <c r="H9" s="24" t="s">
        <v>159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G15" activeCellId="0" sqref="G15"/>
    </sheetView>
  </sheetViews>
  <sheetFormatPr defaultColWidth="8.9296875" defaultRowHeight="13.45" customHeight="false" zeroHeight="false" outlineLevelRow="0" outlineLevelCol="0"/>
  <cols>
    <col collapsed="false" customWidth="true" hidden="false" outlineLevel="0" max="1" min="1" style="1" width="2.58"/>
    <col collapsed="false" customWidth="true" hidden="false" outlineLevel="0" max="2" min="2" style="1" width="11.75"/>
    <col collapsed="false" customWidth="true" hidden="false" outlineLevel="0" max="3" min="3" style="1" width="14.25"/>
    <col collapsed="false" customWidth="true" hidden="false" outlineLevel="0" max="4" min="4" style="1" width="15.96"/>
    <col collapsed="false" customWidth="true" hidden="false" outlineLevel="0" max="5" min="5" style="1" width="12.33"/>
    <col collapsed="false" customWidth="false" hidden="false" outlineLevel="0" max="257" min="6" style="1" width="8.93"/>
  </cols>
  <sheetData>
    <row r="2" customFormat="false" ht="13.45" hidden="false" customHeight="false" outlineLevel="0" collapsed="false">
      <c r="A2" s="2"/>
      <c r="B2" s="5" t="s">
        <v>23</v>
      </c>
      <c r="C2" s="5" t="s">
        <v>160</v>
      </c>
      <c r="D2" s="5"/>
      <c r="E2" s="5"/>
      <c r="F2" s="5"/>
    </row>
    <row r="3" customFormat="false" ht="13.45" hidden="false" customHeight="false" outlineLevel="0" collapsed="false">
      <c r="A3" s="2"/>
      <c r="B3" s="5" t="s">
        <v>0</v>
      </c>
      <c r="C3" s="5" t="s">
        <v>161</v>
      </c>
      <c r="D3" s="5"/>
      <c r="E3" s="5"/>
      <c r="F3" s="5"/>
    </row>
    <row r="4" customFormat="false" ht="13.45" hidden="false" customHeight="false" outlineLevel="0" collapsed="false">
      <c r="A4" s="2"/>
      <c r="B4" s="5" t="s">
        <v>136</v>
      </c>
      <c r="C4" s="5" t="s">
        <v>162</v>
      </c>
      <c r="D4" s="5"/>
      <c r="E4" s="5"/>
      <c r="F4" s="5"/>
    </row>
    <row r="5" customFormat="false" ht="13.45" hidden="false" customHeight="false" outlineLevel="0" collapsed="false">
      <c r="A5" s="2"/>
      <c r="B5" s="2"/>
      <c r="C5" s="2"/>
      <c r="D5" s="2"/>
      <c r="E5" s="5"/>
      <c r="F5" s="5"/>
    </row>
    <row r="6" customFormat="false" ht="13.45" hidden="false" customHeight="false" outlineLevel="0" collapsed="false">
      <c r="A6" s="2"/>
      <c r="B6" s="44" t="s">
        <v>72</v>
      </c>
      <c r="C6" s="44" t="s">
        <v>163</v>
      </c>
      <c r="D6" s="44" t="s">
        <v>95</v>
      </c>
      <c r="E6" s="5"/>
      <c r="F6" s="5"/>
    </row>
    <row r="7" customFormat="false" ht="13.45" hidden="false" customHeight="false" outlineLevel="0" collapsed="false">
      <c r="A7" s="2"/>
      <c r="B7" s="20" t="s">
        <v>164</v>
      </c>
      <c r="C7" s="20" t="s">
        <v>165</v>
      </c>
      <c r="D7" s="20" t="s">
        <v>166</v>
      </c>
      <c r="E7" s="5"/>
      <c r="F7" s="5"/>
    </row>
    <row r="8" customFormat="false" ht="13.45" hidden="false" customHeight="false" outlineLevel="0" collapsed="false">
      <c r="A8" s="2"/>
      <c r="B8" s="20" t="s">
        <v>164</v>
      </c>
      <c r="C8" s="20" t="s">
        <v>167</v>
      </c>
      <c r="D8" s="20" t="s">
        <v>168</v>
      </c>
      <c r="E8" s="5"/>
      <c r="F8" s="5"/>
    </row>
    <row r="9" customFormat="false" ht="13.45" hidden="false" customHeight="false" outlineLevel="0" collapsed="false">
      <c r="A9" s="2"/>
      <c r="B9" s="20" t="s">
        <v>164</v>
      </c>
      <c r="C9" s="20" t="s">
        <v>169</v>
      </c>
      <c r="D9" s="20" t="s">
        <v>170</v>
      </c>
      <c r="E9" s="5"/>
      <c r="F9" s="5"/>
    </row>
    <row r="10" customFormat="false" ht="13.45" hidden="false" customHeight="false" outlineLevel="0" collapsed="false">
      <c r="A10" s="2"/>
      <c r="B10" s="20" t="s">
        <v>164</v>
      </c>
      <c r="C10" s="20" t="s">
        <v>171</v>
      </c>
      <c r="D10" s="20" t="s">
        <v>172</v>
      </c>
      <c r="E10" s="5"/>
      <c r="F10" s="5"/>
    </row>
    <row r="11" customFormat="false" ht="13.45" hidden="false" customHeight="false" outlineLevel="0" collapsed="false">
      <c r="A11" s="5"/>
      <c r="B11" s="5"/>
      <c r="C11" s="5"/>
      <c r="D11" s="5"/>
      <c r="E11" s="5"/>
      <c r="F11" s="5"/>
    </row>
    <row r="12" customFormat="false" ht="13.45" hidden="false" customHeight="false" outlineLevel="0" collapsed="false">
      <c r="A12" s="2"/>
      <c r="B12" s="44" t="s">
        <v>72</v>
      </c>
      <c r="C12" s="44" t="s">
        <v>173</v>
      </c>
      <c r="D12" s="5"/>
      <c r="E12" s="5"/>
      <c r="F12" s="5"/>
    </row>
    <row r="13" customFormat="false" ht="13.45" hidden="false" customHeight="false" outlineLevel="0" collapsed="false">
      <c r="A13" s="2"/>
      <c r="B13" s="20" t="s">
        <v>174</v>
      </c>
      <c r="C13" s="20" t="n">
        <v>50</v>
      </c>
      <c r="D13" s="5"/>
      <c r="E13" s="5"/>
      <c r="F13" s="5"/>
    </row>
    <row r="14" customFormat="false" ht="13.45" hidden="false" customHeight="false" outlineLevel="0" collapsed="false">
      <c r="A14" s="2"/>
      <c r="B14" s="2"/>
      <c r="C14" s="2"/>
      <c r="D14" s="2"/>
      <c r="E14" s="2"/>
      <c r="F14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11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K109" activeCellId="0" sqref="K109"/>
    </sheetView>
  </sheetViews>
  <sheetFormatPr defaultColWidth="8.9296875" defaultRowHeight="13.45" customHeight="false" zeroHeight="false" outlineLevelRow="0" outlineLevelCol="0"/>
  <cols>
    <col collapsed="false" customWidth="true" hidden="false" outlineLevel="0" max="1" min="1" style="1" width="2.83"/>
    <col collapsed="false" customWidth="true" hidden="false" outlineLevel="0" max="2" min="2" style="1" width="8.25"/>
    <col collapsed="false" customWidth="true" hidden="false" outlineLevel="0" max="3" min="3" style="1" width="15.08"/>
    <col collapsed="false" customWidth="true" hidden="false" outlineLevel="0" max="4" min="4" style="1" width="14.25"/>
    <col collapsed="false" customWidth="true" hidden="false" outlineLevel="0" max="5" min="5" style="1" width="13.58"/>
    <col collapsed="false" customWidth="true" hidden="false" outlineLevel="0" max="6" min="6" style="1" width="20.74"/>
    <col collapsed="false" customWidth="true" hidden="false" outlineLevel="0" max="7" min="7" style="1" width="3.95"/>
    <col collapsed="false" customWidth="true" hidden="false" outlineLevel="0" max="8" min="8" style="1" width="15.58"/>
    <col collapsed="false" customWidth="true" hidden="false" outlineLevel="0" max="9" min="9" style="1" width="3.95"/>
    <col collapsed="false" customWidth="true" hidden="false" outlineLevel="0" max="10" min="10" style="1" width="15.58"/>
    <col collapsed="false" customWidth="false" hidden="false" outlineLevel="0" max="257" min="11" style="1" width="8.93"/>
  </cols>
  <sheetData>
    <row r="2" customFormat="false" ht="13.45" hidden="false" customHeight="false" outlineLevel="0" collapsed="false">
      <c r="A2" s="2"/>
      <c r="B2" s="2" t="s">
        <v>23</v>
      </c>
      <c r="C2" s="2"/>
      <c r="D2" s="38"/>
      <c r="E2" s="2"/>
      <c r="F2" s="2"/>
      <c r="G2" s="2"/>
      <c r="H2" s="2"/>
      <c r="I2" s="2"/>
    </row>
    <row r="3" customFormat="false" ht="13.45" hidden="false" customHeight="false" outlineLevel="0" collapsed="false">
      <c r="A3" s="40"/>
      <c r="B3" s="40" t="s">
        <v>175</v>
      </c>
      <c r="C3" s="40" t="n">
        <v>99</v>
      </c>
      <c r="D3" s="38"/>
      <c r="E3" s="38"/>
      <c r="F3" s="38"/>
      <c r="G3" s="38"/>
      <c r="H3" s="38"/>
      <c r="I3" s="2"/>
    </row>
    <row r="4" customFormat="false" ht="13.45" hidden="false" customHeight="false" outlineLevel="0" collapsed="false">
      <c r="A4" s="40"/>
      <c r="B4" s="40" t="s">
        <v>176</v>
      </c>
      <c r="C4" s="40" t="n">
        <v>10</v>
      </c>
      <c r="D4" s="38"/>
      <c r="E4" s="38"/>
      <c r="F4" s="38"/>
      <c r="G4" s="38"/>
      <c r="H4" s="38"/>
      <c r="I4" s="40"/>
    </row>
    <row r="5" customFormat="false" ht="13.4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40"/>
    </row>
    <row r="6" customFormat="false" ht="13.45" hidden="false" customHeight="false" outlineLevel="0" collapsed="false">
      <c r="B6" s="1" t="s">
        <v>31</v>
      </c>
      <c r="C6" s="1" t="s">
        <v>177</v>
      </c>
      <c r="D6" s="1" t="n">
        <v>1</v>
      </c>
    </row>
    <row r="7" customFormat="false" ht="13.45" hidden="false" customHeight="false" outlineLevel="0" collapsed="false">
      <c r="B7" s="1" t="s">
        <v>31</v>
      </c>
      <c r="C7" s="2" t="s">
        <v>178</v>
      </c>
      <c r="D7" s="2" t="s">
        <v>39</v>
      </c>
    </row>
    <row r="8" customFormat="false" ht="13.45" hidden="false" customHeight="false" outlineLevel="0" collapsed="false">
      <c r="B8" s="1" t="s">
        <v>31</v>
      </c>
      <c r="C8" s="2" t="s">
        <v>179</v>
      </c>
      <c r="D8" s="2" t="s">
        <v>180</v>
      </c>
    </row>
    <row r="9" customFormat="false" ht="13.45" hidden="false" customHeight="false" outlineLevel="0" collapsed="false">
      <c r="B9" s="1" t="s">
        <v>31</v>
      </c>
      <c r="C9" s="2" t="s">
        <v>181</v>
      </c>
      <c r="D9" s="2" t="s">
        <v>182</v>
      </c>
    </row>
    <row r="11" customFormat="false" ht="13.45" hidden="false" customHeight="false" outlineLevel="0" collapsed="false">
      <c r="B11" s="1" t="s">
        <v>31</v>
      </c>
      <c r="C11" s="1" t="s">
        <v>183</v>
      </c>
      <c r="D11" s="1" t="n">
        <v>1</v>
      </c>
    </row>
    <row r="12" customFormat="false" ht="13.4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40"/>
    </row>
    <row r="13" customFormat="false" ht="13.45" hidden="false" customHeight="false" outlineLevel="0" collapsed="false">
      <c r="A13" s="2"/>
      <c r="B13" s="36" t="s">
        <v>72</v>
      </c>
      <c r="C13" s="29" t="s">
        <v>184</v>
      </c>
      <c r="D13" s="29"/>
      <c r="E13" s="29"/>
      <c r="F13" s="37"/>
      <c r="G13" s="2"/>
      <c r="H13" s="2"/>
      <c r="I13" s="2"/>
    </row>
    <row r="14" customFormat="false" ht="13.45" hidden="false" customHeight="false" outlineLevel="0" collapsed="false">
      <c r="A14" s="2"/>
      <c r="B14" s="42" t="s">
        <v>185</v>
      </c>
      <c r="C14" s="45" t="s">
        <v>186</v>
      </c>
      <c r="D14" s="45"/>
      <c r="E14" s="45"/>
      <c r="F14" s="45"/>
      <c r="G14" s="2"/>
      <c r="H14" s="2"/>
      <c r="I14" s="2"/>
    </row>
    <row r="15" customFormat="false" ht="13.45" hidden="false" customHeight="false" outlineLevel="0" collapsed="false">
      <c r="A15" s="2"/>
      <c r="B15" s="21" t="s">
        <v>187</v>
      </c>
      <c r="C15" s="21" t="n">
        <v>500</v>
      </c>
      <c r="D15" s="21"/>
      <c r="E15" s="46" t="s">
        <v>72</v>
      </c>
      <c r="F15" s="46" t="s">
        <v>188</v>
      </c>
      <c r="G15" s="2"/>
      <c r="H15" s="2"/>
      <c r="I15" s="2"/>
    </row>
    <row r="16" customFormat="false" ht="13.45" hidden="false" customHeight="false" outlineLevel="0" collapsed="false">
      <c r="A16" s="2"/>
      <c r="B16" s="24" t="s">
        <v>189</v>
      </c>
      <c r="C16" s="21" t="s">
        <v>190</v>
      </c>
      <c r="D16" s="21" t="n">
        <v>32</v>
      </c>
      <c r="E16" s="21" t="s">
        <v>72</v>
      </c>
      <c r="F16" s="21" t="s">
        <v>94</v>
      </c>
      <c r="G16" s="2"/>
      <c r="H16" s="2"/>
      <c r="I16" s="2"/>
    </row>
    <row r="17" customFormat="false" ht="13.45" hidden="false" customHeight="false" outlineLevel="0" collapsed="false">
      <c r="A17" s="2"/>
      <c r="B17" s="24" t="s">
        <v>189</v>
      </c>
      <c r="C17" s="47" t="s">
        <v>191</v>
      </c>
      <c r="D17" s="21" t="n">
        <v>32</v>
      </c>
      <c r="E17" s="21" t="s">
        <v>72</v>
      </c>
      <c r="F17" s="21" t="s">
        <v>97</v>
      </c>
      <c r="G17" s="2"/>
      <c r="H17" s="2"/>
      <c r="I17" s="2"/>
    </row>
    <row r="18" customFormat="false" ht="13.45" hidden="false" customHeight="false" outlineLevel="0" collapsed="false">
      <c r="A18" s="2"/>
      <c r="B18" s="24" t="s">
        <v>189</v>
      </c>
      <c r="C18" s="47" t="s">
        <v>192</v>
      </c>
      <c r="D18" s="21" t="n">
        <v>8</v>
      </c>
      <c r="E18" s="21" t="s">
        <v>72</v>
      </c>
      <c r="F18" s="21" t="s">
        <v>193</v>
      </c>
      <c r="G18" s="2"/>
      <c r="H18" s="2"/>
      <c r="I18" s="2"/>
    </row>
    <row r="19" customFormat="false" ht="13.45" hidden="false" customHeight="false" outlineLevel="0" collapsed="false">
      <c r="A19" s="2"/>
      <c r="B19" s="42" t="s">
        <v>185</v>
      </c>
      <c r="C19" s="45" t="s">
        <v>194</v>
      </c>
      <c r="D19" s="45"/>
      <c r="E19" s="45"/>
      <c r="F19" s="45"/>
      <c r="G19" s="2"/>
      <c r="H19" s="2"/>
      <c r="I19" s="2"/>
    </row>
    <row r="20" customFormat="false" ht="13.45" hidden="false" customHeight="false" outlineLevel="0" collapsed="false">
      <c r="A20" s="2"/>
      <c r="B20" s="21" t="s">
        <v>187</v>
      </c>
      <c r="C20" s="21" t="n">
        <v>500</v>
      </c>
      <c r="D20" s="21"/>
      <c r="E20" s="46" t="s">
        <v>72</v>
      </c>
      <c r="F20" s="46" t="s">
        <v>188</v>
      </c>
      <c r="G20" s="2"/>
      <c r="H20" s="2"/>
      <c r="I20" s="2"/>
    </row>
    <row r="21" customFormat="false" ht="14.1" hidden="false" customHeight="false" outlineLevel="0" collapsed="false">
      <c r="A21" s="2"/>
      <c r="B21" s="24" t="s">
        <v>189</v>
      </c>
      <c r="C21" s="21" t="s">
        <v>195</v>
      </c>
      <c r="D21" s="21" t="n">
        <v>8</v>
      </c>
      <c r="E21" s="21" t="s">
        <v>72</v>
      </c>
      <c r="F21" s="21" t="s">
        <v>196</v>
      </c>
      <c r="G21" s="2"/>
      <c r="H21" s="2"/>
      <c r="I21" s="2"/>
    </row>
    <row r="22" customFormat="false" ht="13.45" hidden="false" customHeight="false" outlineLevel="0" collapsed="false">
      <c r="A22" s="2"/>
      <c r="B22" s="42" t="s">
        <v>185</v>
      </c>
      <c r="C22" s="45" t="s">
        <v>197</v>
      </c>
      <c r="D22" s="45"/>
      <c r="E22" s="45"/>
      <c r="F22" s="45"/>
      <c r="G22" s="2"/>
      <c r="H22" s="2"/>
      <c r="I22" s="2"/>
    </row>
    <row r="23" customFormat="false" ht="13.45" hidden="false" customHeight="false" outlineLevel="0" collapsed="false">
      <c r="A23" s="2"/>
      <c r="B23" s="21" t="s">
        <v>187</v>
      </c>
      <c r="C23" s="21" t="s">
        <v>198</v>
      </c>
      <c r="D23" s="21"/>
      <c r="E23" s="46" t="s">
        <v>72</v>
      </c>
      <c r="F23" s="46" t="s">
        <v>188</v>
      </c>
      <c r="G23" s="2"/>
      <c r="H23" s="2"/>
      <c r="I23" s="2"/>
    </row>
    <row r="24" customFormat="false" ht="13.45" hidden="false" customHeight="false" outlineLevel="0" collapsed="false">
      <c r="A24" s="2"/>
      <c r="B24" s="24" t="s">
        <v>189</v>
      </c>
      <c r="C24" s="47" t="s">
        <v>199</v>
      </c>
      <c r="D24" s="21" t="n">
        <v>32</v>
      </c>
      <c r="E24" s="21" t="s">
        <v>72</v>
      </c>
      <c r="F24" s="21" t="s">
        <v>97</v>
      </c>
      <c r="G24" s="2"/>
      <c r="H24" s="2"/>
      <c r="I24" s="2"/>
    </row>
    <row r="25" customFormat="false" ht="13.45" hidden="false" customHeight="false" outlineLevel="0" collapsed="false">
      <c r="A25" s="2"/>
      <c r="B25" s="24" t="s">
        <v>189</v>
      </c>
      <c r="C25" s="21" t="s">
        <v>200</v>
      </c>
      <c r="D25" s="21" t="s">
        <v>180</v>
      </c>
      <c r="E25" s="21" t="s">
        <v>72</v>
      </c>
      <c r="F25" s="21" t="s">
        <v>94</v>
      </c>
      <c r="G25" s="2"/>
      <c r="H25" s="2"/>
      <c r="I25" s="2"/>
    </row>
    <row r="26" customFormat="false" ht="13.45" hidden="false" customHeight="false" outlineLevel="0" collapsed="false">
      <c r="A26" s="2"/>
      <c r="B26" s="24" t="s">
        <v>189</v>
      </c>
      <c r="C26" s="47" t="s">
        <v>201</v>
      </c>
      <c r="D26" s="21" t="n">
        <v>8</v>
      </c>
      <c r="E26" s="21" t="s">
        <v>72</v>
      </c>
      <c r="F26" s="21" t="s">
        <v>193</v>
      </c>
      <c r="G26" s="2"/>
      <c r="H26" s="2"/>
      <c r="I26" s="2"/>
    </row>
    <row r="27" customFormat="false" ht="13.4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</row>
    <row r="28" customFormat="false" ht="13.45" hidden="false" customHeight="false" outlineLevel="0" collapsed="false">
      <c r="A28" s="2"/>
      <c r="B28" s="36" t="s">
        <v>72</v>
      </c>
      <c r="C28" s="29" t="s">
        <v>134</v>
      </c>
      <c r="D28" s="29"/>
      <c r="E28" s="37"/>
      <c r="F28" s="2"/>
      <c r="G28" s="2"/>
      <c r="H28" s="2"/>
      <c r="I28" s="2"/>
    </row>
    <row r="29" customFormat="false" ht="13.45" hidden="false" customHeight="false" outlineLevel="0" collapsed="false">
      <c r="A29" s="2"/>
      <c r="B29" s="38" t="s">
        <v>135</v>
      </c>
      <c r="C29" s="38"/>
      <c r="D29" s="38"/>
      <c r="E29" s="38"/>
      <c r="F29" s="2"/>
      <c r="G29" s="2"/>
      <c r="H29" s="2"/>
      <c r="I29" s="2"/>
    </row>
    <row r="30" customFormat="false" ht="13.45" hidden="false" customHeight="false" outlineLevel="0" collapsed="false">
      <c r="A30" s="2"/>
      <c r="B30" s="38" t="s">
        <v>136</v>
      </c>
      <c r="C30" s="38" t="s">
        <v>137</v>
      </c>
      <c r="D30" s="38"/>
      <c r="E30" s="38"/>
      <c r="F30" s="2"/>
      <c r="G30" s="2"/>
      <c r="H30" s="2"/>
      <c r="I30" s="2"/>
    </row>
    <row r="31" customFormat="false" ht="13.45" hidden="false" customHeight="false" outlineLevel="0" collapsed="false">
      <c r="A31" s="2"/>
      <c r="B31" s="2" t="s">
        <v>138</v>
      </c>
      <c r="C31" s="39"/>
      <c r="D31" s="2"/>
      <c r="E31" s="2"/>
      <c r="F31" s="2"/>
      <c r="G31" s="2"/>
      <c r="H31" s="2"/>
      <c r="I31" s="2"/>
    </row>
    <row r="32" customFormat="false" ht="13.45" hidden="false" customHeight="false" outlineLevel="0" collapsed="false">
      <c r="A32" s="2"/>
      <c r="B32" s="2" t="s">
        <v>136</v>
      </c>
      <c r="C32" s="39" t="s">
        <v>139</v>
      </c>
      <c r="D32" s="2"/>
      <c r="E32" s="2"/>
      <c r="F32" s="2"/>
      <c r="G32" s="2"/>
      <c r="H32" s="2"/>
      <c r="I32" s="2"/>
    </row>
    <row r="33" customFormat="false" ht="13.45" hidden="false" customHeight="false" outlineLevel="0" collapsed="false">
      <c r="A33" s="2"/>
      <c r="B33" s="2" t="s">
        <v>138</v>
      </c>
      <c r="C33" s="39"/>
      <c r="D33" s="2"/>
      <c r="E33" s="2"/>
      <c r="F33" s="2"/>
      <c r="G33" s="2"/>
      <c r="H33" s="2"/>
      <c r="I33" s="2"/>
    </row>
    <row r="34" customFormat="false" ht="13.45" hidden="false" customHeight="false" outlineLevel="0" collapsed="false">
      <c r="A34" s="2"/>
      <c r="B34" s="2" t="s">
        <v>136</v>
      </c>
      <c r="C34" s="39" t="s">
        <v>140</v>
      </c>
      <c r="D34" s="2"/>
      <c r="E34" s="2"/>
      <c r="F34" s="2"/>
      <c r="G34" s="2"/>
      <c r="H34" s="2"/>
      <c r="I34" s="2"/>
    </row>
    <row r="35" customFormat="false" ht="13.45" hidden="false" customHeight="false" outlineLevel="0" collapsed="false">
      <c r="A35" s="2"/>
      <c r="B35" s="2" t="s">
        <v>136</v>
      </c>
      <c r="C35" s="39" t="s">
        <v>202</v>
      </c>
      <c r="D35" s="2"/>
      <c r="E35" s="2"/>
      <c r="F35" s="2"/>
      <c r="G35" s="2"/>
      <c r="H35" s="2"/>
      <c r="I35" s="2"/>
    </row>
    <row r="36" customFormat="false" ht="13.45" hidden="false" customHeight="false" outlineLevel="0" collapsed="false">
      <c r="A36" s="2"/>
      <c r="B36" s="16" t="s">
        <v>72</v>
      </c>
      <c r="C36" s="17" t="s">
        <v>203</v>
      </c>
      <c r="D36" s="17"/>
      <c r="E36" s="19"/>
      <c r="F36" s="2"/>
      <c r="G36" s="2"/>
      <c r="H36" s="2"/>
      <c r="I36" s="2"/>
    </row>
    <row r="37" customFormat="false" ht="13.45" hidden="false" customHeight="false" outlineLevel="0" collapsed="false">
      <c r="A37" s="2"/>
      <c r="B37" s="2" t="s">
        <v>136</v>
      </c>
      <c r="C37" s="2" t="s">
        <v>204</v>
      </c>
      <c r="D37" s="2"/>
      <c r="E37" s="40"/>
      <c r="F37" s="2"/>
      <c r="G37" s="2"/>
      <c r="H37" s="2"/>
      <c r="I37" s="2"/>
    </row>
    <row r="38" customFormat="false" ht="13.45" hidden="false" customHeight="false" outlineLevel="0" collapsed="false">
      <c r="A38" s="2"/>
      <c r="B38" s="2" t="s">
        <v>136</v>
      </c>
      <c r="C38" s="40" t="s">
        <v>205</v>
      </c>
      <c r="D38" s="40"/>
      <c r="E38" s="40"/>
      <c r="F38" s="2"/>
      <c r="G38" s="2"/>
      <c r="H38" s="2"/>
      <c r="I38" s="2"/>
    </row>
    <row r="39" customFormat="false" ht="13.45" hidden="false" customHeight="false" outlineLevel="0" collapsed="false">
      <c r="A39" s="2"/>
      <c r="B39" s="2" t="s">
        <v>136</v>
      </c>
      <c r="C39" s="40" t="s">
        <v>206</v>
      </c>
      <c r="D39" s="40"/>
      <c r="E39" s="40"/>
      <c r="F39" s="2"/>
      <c r="G39" s="2"/>
      <c r="H39" s="2"/>
      <c r="I39" s="2"/>
    </row>
    <row r="40" customFormat="false" ht="13.45" hidden="false" customHeight="false" outlineLevel="0" collapsed="false">
      <c r="A40" s="2"/>
      <c r="B40" s="2" t="s">
        <v>136</v>
      </c>
      <c r="C40" s="2" t="s">
        <v>207</v>
      </c>
      <c r="D40" s="40"/>
      <c r="E40" s="40"/>
      <c r="F40" s="2"/>
      <c r="G40" s="2"/>
      <c r="H40" s="2"/>
      <c r="I40" s="2"/>
    </row>
    <row r="41" customFormat="false" ht="13.45" hidden="false" customHeight="false" outlineLevel="0" collapsed="false">
      <c r="A41" s="2"/>
      <c r="B41" s="2" t="s">
        <v>136</v>
      </c>
      <c r="C41" s="2" t="s">
        <v>141</v>
      </c>
      <c r="D41" s="2"/>
      <c r="E41" s="40"/>
      <c r="F41" s="2"/>
      <c r="G41" s="2"/>
      <c r="H41" s="2"/>
      <c r="I41" s="2"/>
    </row>
    <row r="42" customFormat="false" ht="13.45" hidden="false" customHeight="false" outlineLevel="0" collapsed="false">
      <c r="A42" s="2"/>
      <c r="B42" s="2" t="s">
        <v>136</v>
      </c>
      <c r="C42" s="2" t="s">
        <v>208</v>
      </c>
      <c r="D42" s="2"/>
      <c r="E42" s="2"/>
      <c r="F42" s="2"/>
      <c r="G42" s="2"/>
      <c r="H42" s="2"/>
      <c r="I42" s="2"/>
    </row>
    <row r="43" customFormat="false" ht="13.45" hidden="false" customHeight="false" outlineLevel="0" collapsed="false">
      <c r="A43" s="2"/>
      <c r="B43" s="2" t="s">
        <v>136</v>
      </c>
      <c r="C43" s="2" t="s">
        <v>141</v>
      </c>
      <c r="D43" s="2"/>
      <c r="E43" s="2"/>
      <c r="F43" s="2"/>
      <c r="G43" s="2"/>
      <c r="H43" s="2"/>
      <c r="I43" s="2"/>
    </row>
    <row r="44" customFormat="false" ht="13.45" hidden="false" customHeight="false" outlineLevel="0" collapsed="false">
      <c r="A44" s="2"/>
      <c r="B44" s="16" t="s">
        <v>72</v>
      </c>
      <c r="C44" s="17" t="s">
        <v>142</v>
      </c>
      <c r="D44" s="17"/>
      <c r="E44" s="19"/>
      <c r="F44" s="2"/>
      <c r="G44" s="2"/>
      <c r="H44" s="2"/>
      <c r="I44" s="2"/>
    </row>
    <row r="45" customFormat="false" ht="13.45" hidden="false" customHeight="false" outlineLevel="0" collapsed="false">
      <c r="A45" s="2"/>
      <c r="B45" s="2" t="s">
        <v>136</v>
      </c>
      <c r="C45" s="2" t="s">
        <v>209</v>
      </c>
      <c r="D45" s="2"/>
      <c r="E45" s="2"/>
      <c r="F45" s="2"/>
      <c r="G45" s="2"/>
      <c r="H45" s="2"/>
      <c r="I45" s="2"/>
    </row>
    <row r="46" customFormat="false" ht="13.45" hidden="false" customHeight="false" outlineLevel="0" collapsed="false">
      <c r="A46" s="2"/>
      <c r="B46" s="2" t="s">
        <v>136</v>
      </c>
      <c r="C46" s="2" t="s">
        <v>210</v>
      </c>
      <c r="D46" s="2"/>
      <c r="E46" s="2"/>
      <c r="F46" s="2"/>
      <c r="G46" s="2"/>
      <c r="H46" s="2"/>
      <c r="I46" s="2"/>
    </row>
    <row r="47" customFormat="false" ht="13.45" hidden="false" customHeight="false" outlineLevel="0" collapsed="false">
      <c r="A47" s="2"/>
      <c r="B47" s="2" t="s">
        <v>136</v>
      </c>
      <c r="C47" s="39" t="s">
        <v>211</v>
      </c>
      <c r="D47" s="2"/>
      <c r="E47" s="2"/>
      <c r="F47" s="2"/>
      <c r="G47" s="2"/>
      <c r="H47" s="2"/>
      <c r="I47" s="2"/>
    </row>
    <row r="48" customFormat="false" ht="13.45" hidden="false" customHeight="false" outlineLevel="0" collapsed="false">
      <c r="A48" s="2"/>
      <c r="B48" s="2" t="s">
        <v>145</v>
      </c>
      <c r="C48" s="39"/>
      <c r="D48" s="2"/>
      <c r="E48" s="2"/>
      <c r="F48" s="2"/>
      <c r="G48" s="2"/>
      <c r="H48" s="2"/>
      <c r="I48" s="2"/>
    </row>
    <row r="49" customFormat="false" ht="13.45" hidden="false" customHeight="false" outlineLevel="0" collapsed="false">
      <c r="A49" s="2"/>
      <c r="B49" s="2" t="s">
        <v>136</v>
      </c>
      <c r="C49" s="41" t="s">
        <v>146</v>
      </c>
      <c r="D49" s="2"/>
      <c r="E49" s="40"/>
      <c r="F49" s="2"/>
      <c r="G49" s="2"/>
      <c r="H49" s="2"/>
      <c r="I49" s="2"/>
    </row>
    <row r="50" customFormat="false" ht="13.4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</row>
    <row r="51" customFormat="false" ht="14.1" hidden="false" customHeight="false" outlineLevel="0" collapsed="false">
      <c r="A51" s="2"/>
      <c r="B51" s="36" t="s">
        <v>72</v>
      </c>
      <c r="C51" s="29" t="s">
        <v>212</v>
      </c>
      <c r="D51" s="29"/>
      <c r="E51" s="29"/>
      <c r="F51" s="29"/>
      <c r="G51" s="37"/>
      <c r="H51" s="2"/>
      <c r="I51" s="2"/>
    </row>
    <row r="52" customFormat="false" ht="13.45" hidden="false" customHeight="false" outlineLevel="0" collapsed="false">
      <c r="A52" s="40"/>
      <c r="B52" s="48" t="s">
        <v>213</v>
      </c>
      <c r="C52" s="49" t="s">
        <v>214</v>
      </c>
      <c r="D52" s="49" t="s">
        <v>33</v>
      </c>
      <c r="E52" s="49"/>
      <c r="F52" s="49"/>
      <c r="G52" s="50"/>
      <c r="H52" s="40"/>
      <c r="I52" s="40"/>
    </row>
    <row r="53" customFormat="false" ht="13.45" hidden="false" customHeight="false" outlineLevel="0" collapsed="false">
      <c r="A53" s="40"/>
      <c r="B53" s="40" t="s">
        <v>215</v>
      </c>
      <c r="C53" s="40" t="s">
        <v>173</v>
      </c>
      <c r="D53" s="40" t="s">
        <v>39</v>
      </c>
      <c r="E53" s="40" t="s">
        <v>216</v>
      </c>
      <c r="F53" s="40"/>
      <c r="G53" s="40"/>
      <c r="H53" s="40"/>
      <c r="I53" s="40"/>
    </row>
    <row r="54" customFormat="false" ht="13.45" hidden="false" customHeight="false" outlineLevel="0" collapsed="false">
      <c r="A54" s="40"/>
      <c r="B54" s="51" t="s">
        <v>46</v>
      </c>
      <c r="C54" s="18" t="s">
        <v>217</v>
      </c>
      <c r="D54" s="18"/>
      <c r="E54" s="18" t="s">
        <v>72</v>
      </c>
      <c r="F54" s="18" t="s">
        <v>218</v>
      </c>
      <c r="G54" s="52"/>
      <c r="H54" s="40"/>
      <c r="I54" s="40"/>
    </row>
    <row r="55" customFormat="false" ht="14.1" hidden="false" customHeight="false" outlineLevel="0" collapsed="false">
      <c r="A55" s="40"/>
      <c r="B55" s="40" t="s">
        <v>52</v>
      </c>
      <c r="C55" s="40" t="s">
        <v>219</v>
      </c>
      <c r="D55" s="40"/>
      <c r="E55" s="40" t="s">
        <v>72</v>
      </c>
      <c r="F55" s="40" t="s">
        <v>220</v>
      </c>
      <c r="G55" s="40"/>
      <c r="H55" s="40"/>
      <c r="I55" s="40"/>
    </row>
    <row r="56" customFormat="false" ht="13.45" hidden="false" customHeight="false" outlineLevel="0" collapsed="false">
      <c r="A56" s="2"/>
      <c r="B56" s="2" t="s">
        <v>57</v>
      </c>
      <c r="C56" s="2" t="s">
        <v>80</v>
      </c>
      <c r="D56" s="2" t="s">
        <v>159</v>
      </c>
      <c r="E56" s="2" t="s">
        <v>221</v>
      </c>
      <c r="F56" s="2" t="s">
        <v>222</v>
      </c>
      <c r="G56" s="2"/>
      <c r="H56" s="2"/>
      <c r="I56" s="2"/>
    </row>
    <row r="57" customFormat="false" ht="13.45" hidden="false" customHeight="false" outlineLevel="0" collapsed="false">
      <c r="A57" s="2"/>
      <c r="B57" s="2" t="s">
        <v>57</v>
      </c>
      <c r="C57" s="2" t="s">
        <v>82</v>
      </c>
      <c r="D57" s="2" t="s">
        <v>159</v>
      </c>
      <c r="E57" s="2" t="s">
        <v>223</v>
      </c>
      <c r="F57" s="2" t="s">
        <v>224</v>
      </c>
      <c r="G57" s="2"/>
      <c r="H57" s="2"/>
      <c r="I57" s="2"/>
    </row>
    <row r="58" customFormat="false" ht="13.45" hidden="false" customHeight="false" outlineLevel="0" collapsed="false">
      <c r="A58" s="2"/>
      <c r="B58" s="2" t="s">
        <v>52</v>
      </c>
      <c r="C58" s="2" t="s">
        <v>225</v>
      </c>
      <c r="D58" s="2"/>
      <c r="E58" s="2"/>
      <c r="F58" s="2"/>
      <c r="G58" s="2"/>
      <c r="H58" s="2"/>
      <c r="I58" s="2"/>
    </row>
    <row r="59" customFormat="false" ht="13.4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</row>
    <row r="60" customFormat="false" ht="13.45" hidden="false" customHeight="false" outlineLevel="0" collapsed="false">
      <c r="A60" s="2"/>
      <c r="B60" s="2" t="s">
        <v>52</v>
      </c>
      <c r="C60" s="2" t="s">
        <v>226</v>
      </c>
      <c r="D60" s="2"/>
      <c r="E60" s="2"/>
      <c r="F60" s="2"/>
      <c r="G60" s="2"/>
      <c r="H60" s="2"/>
      <c r="I60" s="2"/>
    </row>
    <row r="61" customFormat="false" ht="13.45" hidden="false" customHeight="false" outlineLevel="0" collapsed="false">
      <c r="A61" s="2"/>
      <c r="B61" s="2" t="s">
        <v>52</v>
      </c>
      <c r="C61" s="2" t="s">
        <v>227</v>
      </c>
      <c r="D61" s="2"/>
      <c r="E61" s="2"/>
      <c r="F61" s="2"/>
      <c r="G61" s="2"/>
      <c r="H61" s="2"/>
      <c r="I61" s="2"/>
    </row>
    <row r="62" customFormat="false" ht="13.45" hidden="false" customHeight="false" outlineLevel="0" collapsed="false">
      <c r="A62" s="2"/>
      <c r="B62" s="2" t="s">
        <v>52</v>
      </c>
      <c r="C62" s="2" t="s">
        <v>228</v>
      </c>
      <c r="D62" s="2"/>
      <c r="E62" s="2"/>
      <c r="F62" s="2"/>
      <c r="G62" s="2"/>
      <c r="H62" s="2"/>
      <c r="I62" s="2"/>
    </row>
    <row r="63" customFormat="false" ht="13.45" hidden="false" customHeight="false" outlineLevel="0" collapsed="false">
      <c r="A63" s="2"/>
      <c r="B63" s="2" t="s">
        <v>52</v>
      </c>
      <c r="C63" s="2" t="s">
        <v>226</v>
      </c>
      <c r="D63" s="2"/>
      <c r="E63" s="2"/>
      <c r="F63" s="2"/>
      <c r="G63" s="2"/>
      <c r="H63" s="2"/>
      <c r="I63" s="2"/>
    </row>
    <row r="64" customFormat="false" ht="13.45" hidden="false" customHeight="false" outlineLevel="0" collapsed="false">
      <c r="A64" s="2"/>
      <c r="B64" s="2" t="s">
        <v>52</v>
      </c>
      <c r="C64" s="2" t="s">
        <v>229</v>
      </c>
      <c r="D64" s="2"/>
      <c r="E64" s="2"/>
      <c r="F64" s="2"/>
      <c r="G64" s="2"/>
      <c r="H64" s="2"/>
      <c r="I64" s="2"/>
    </row>
    <row r="65" customFormat="false" ht="13.4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</row>
    <row r="66" customFormat="false" ht="13.45" hidden="false" customHeight="false" outlineLevel="0" collapsed="false">
      <c r="A66" s="2"/>
      <c r="B66" s="2" t="s">
        <v>230</v>
      </c>
      <c r="C66" s="2" t="s">
        <v>231</v>
      </c>
      <c r="D66" s="2" t="s">
        <v>232</v>
      </c>
      <c r="E66" s="2"/>
      <c r="F66" s="2"/>
      <c r="G66" s="2"/>
      <c r="H66" s="2"/>
      <c r="I66" s="2"/>
    </row>
    <row r="67" customFormat="false" ht="13.45" hidden="false" customHeight="false" outlineLevel="0" collapsed="false">
      <c r="A67" s="2"/>
      <c r="C67" s="2" t="s">
        <v>52</v>
      </c>
      <c r="D67" s="2" t="s">
        <v>233</v>
      </c>
      <c r="E67" s="2"/>
      <c r="F67" s="2"/>
      <c r="G67" s="2"/>
      <c r="H67" s="2"/>
      <c r="I67" s="2"/>
    </row>
    <row r="68" customFormat="false" ht="13.45" hidden="false" customHeight="false" outlineLevel="0" collapsed="false">
      <c r="A68" s="2"/>
      <c r="C68" s="2" t="s">
        <v>52</v>
      </c>
      <c r="D68" s="2" t="s">
        <v>234</v>
      </c>
      <c r="E68" s="2"/>
      <c r="F68" s="2"/>
      <c r="G68" s="2"/>
      <c r="H68" s="2"/>
      <c r="I68" s="2"/>
    </row>
    <row r="69" customFormat="false" ht="13.45" hidden="false" customHeight="false" outlineLevel="0" collapsed="false">
      <c r="A69" s="2"/>
      <c r="C69" s="2" t="s">
        <v>52</v>
      </c>
      <c r="D69" s="2" t="s">
        <v>235</v>
      </c>
      <c r="E69" s="2"/>
      <c r="F69" s="2"/>
      <c r="G69" s="2"/>
      <c r="H69" s="2"/>
      <c r="I69" s="2"/>
    </row>
    <row r="70" customFormat="false" ht="13.45" hidden="false" customHeight="false" outlineLevel="0" collapsed="false">
      <c r="A70" s="2"/>
      <c r="C70" s="2" t="s">
        <v>52</v>
      </c>
      <c r="D70" s="2" t="s">
        <v>233</v>
      </c>
      <c r="E70" s="2"/>
      <c r="F70" s="2"/>
      <c r="G70" s="2"/>
      <c r="H70" s="2"/>
      <c r="I70" s="2"/>
    </row>
    <row r="71" customFormat="false" ht="13.45" hidden="false" customHeight="false" outlineLevel="0" collapsed="false">
      <c r="A71" s="2"/>
      <c r="C71" s="2" t="s">
        <v>52</v>
      </c>
      <c r="D71" s="2" t="s">
        <v>236</v>
      </c>
      <c r="E71" s="2"/>
      <c r="F71" s="2"/>
      <c r="G71" s="2"/>
      <c r="H71" s="2"/>
      <c r="I71" s="2"/>
    </row>
    <row r="72" customFormat="false" ht="13.45" hidden="false" customHeight="false" outlineLevel="0" collapsed="false">
      <c r="A72" s="2"/>
      <c r="B72" s="2" t="s">
        <v>237</v>
      </c>
      <c r="C72" s="2"/>
      <c r="D72" s="2"/>
      <c r="E72" s="2"/>
      <c r="F72" s="2"/>
      <c r="G72" s="2"/>
      <c r="H72" s="2"/>
      <c r="I72" s="2"/>
    </row>
    <row r="73" customFormat="false" ht="13.4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</row>
    <row r="74" customFormat="false" ht="13.45" hidden="false" customHeight="false" outlineLevel="0" collapsed="false">
      <c r="A74" s="2"/>
      <c r="B74" s="2" t="s">
        <v>52</v>
      </c>
      <c r="C74" s="2" t="s">
        <v>238</v>
      </c>
      <c r="D74" s="2"/>
      <c r="E74" s="2"/>
      <c r="F74" s="2"/>
      <c r="G74" s="2"/>
      <c r="H74" s="2"/>
      <c r="I74" s="2"/>
    </row>
    <row r="75" customFormat="false" ht="13.45" hidden="false" customHeight="false" outlineLevel="0" collapsed="false">
      <c r="A75" s="2"/>
      <c r="B75" s="2" t="s">
        <v>62</v>
      </c>
      <c r="C75" s="2" t="s">
        <v>239</v>
      </c>
      <c r="D75" s="2"/>
      <c r="E75" s="2"/>
      <c r="F75" s="2"/>
      <c r="G75" s="2"/>
      <c r="H75" s="2"/>
      <c r="I75" s="2"/>
    </row>
    <row r="76" customFormat="false" ht="13.45" hidden="false" customHeight="false" outlineLevel="0" collapsed="false">
      <c r="A76" s="2"/>
      <c r="B76" s="51" t="s">
        <v>46</v>
      </c>
      <c r="C76" s="18" t="s">
        <v>239</v>
      </c>
      <c r="D76" s="18"/>
      <c r="E76" s="18" t="s">
        <v>72</v>
      </c>
      <c r="F76" s="18" t="s">
        <v>240</v>
      </c>
      <c r="G76" s="52"/>
      <c r="H76" s="2"/>
      <c r="I76" s="2"/>
    </row>
    <row r="77" customFormat="false" ht="13.45" hidden="false" customHeight="false" outlineLevel="0" collapsed="false">
      <c r="A77" s="2"/>
      <c r="B77" s="2" t="s">
        <v>48</v>
      </c>
      <c r="C77" s="2" t="s">
        <v>241</v>
      </c>
      <c r="F77" s="2"/>
      <c r="G77" s="2"/>
      <c r="H77" s="2"/>
      <c r="I77" s="2"/>
    </row>
    <row r="78" customFormat="false" ht="13.45" hidden="false" customHeight="false" outlineLevel="0" collapsed="false">
      <c r="A78" s="2"/>
      <c r="B78" s="2"/>
      <c r="C78" s="2" t="s">
        <v>48</v>
      </c>
      <c r="D78" s="2" t="s">
        <v>242</v>
      </c>
      <c r="E78" s="2" t="s">
        <v>62</v>
      </c>
      <c r="F78" s="2" t="s">
        <v>217</v>
      </c>
      <c r="G78" s="2"/>
      <c r="H78" s="2"/>
      <c r="I78" s="2"/>
    </row>
    <row r="79" customFormat="false" ht="13.45" hidden="false" customHeight="false" outlineLevel="0" collapsed="false">
      <c r="A79" s="2"/>
      <c r="B79" s="2"/>
      <c r="C79" s="15" t="s">
        <v>54</v>
      </c>
      <c r="E79" s="2" t="s">
        <v>62</v>
      </c>
      <c r="F79" s="2" t="s">
        <v>243</v>
      </c>
      <c r="G79" s="2"/>
      <c r="H79" s="2"/>
      <c r="I79" s="2"/>
    </row>
    <row r="80" customFormat="false" ht="13.45" hidden="false" customHeight="false" outlineLevel="0" collapsed="false">
      <c r="A80" s="2"/>
      <c r="B80" s="2" t="s">
        <v>67</v>
      </c>
      <c r="C80" s="2"/>
      <c r="D80" s="2"/>
      <c r="E80" s="2"/>
      <c r="F80" s="2"/>
      <c r="G80" s="2"/>
      <c r="H80" s="2"/>
      <c r="I80" s="2"/>
    </row>
    <row r="81" customFormat="false" ht="13.4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</row>
    <row r="82" customFormat="false" ht="13.45" hidden="false" customHeight="false" outlineLevel="0" collapsed="false">
      <c r="A82" s="2"/>
      <c r="B82" s="51" t="s">
        <v>46</v>
      </c>
      <c r="C82" s="18" t="s">
        <v>243</v>
      </c>
      <c r="D82" s="18"/>
      <c r="E82" s="18" t="s">
        <v>72</v>
      </c>
      <c r="F82" s="18" t="s">
        <v>244</v>
      </c>
      <c r="G82" s="52"/>
      <c r="H82" s="2"/>
      <c r="I82" s="2"/>
    </row>
    <row r="83" customFormat="false" ht="13.45" hidden="false" customHeight="false" outlineLevel="0" collapsed="false">
      <c r="A83" s="2"/>
      <c r="B83" s="2" t="s">
        <v>48</v>
      </c>
      <c r="C83" s="2" t="s">
        <v>245</v>
      </c>
      <c r="D83" s="2" t="s">
        <v>62</v>
      </c>
      <c r="E83" s="2" t="s">
        <v>217</v>
      </c>
      <c r="F83" s="2"/>
      <c r="G83" s="2"/>
      <c r="H83" s="2"/>
      <c r="I83" s="2"/>
    </row>
    <row r="84" customFormat="false" ht="13.45" hidden="false" customHeight="false" outlineLevel="0" collapsed="false">
      <c r="A84" s="2"/>
      <c r="B84" s="2" t="s">
        <v>54</v>
      </c>
      <c r="C84" s="2"/>
      <c r="D84" s="2" t="s">
        <v>52</v>
      </c>
      <c r="E84" s="2" t="s">
        <v>246</v>
      </c>
      <c r="F84" s="2"/>
      <c r="G84" s="2"/>
      <c r="H84" s="2"/>
      <c r="I84" s="2"/>
    </row>
    <row r="85" customFormat="false" ht="13.4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</row>
    <row r="86" customFormat="false" ht="14.1" hidden="false" customHeight="false" outlineLevel="0" collapsed="false">
      <c r="A86" s="2"/>
      <c r="B86" s="36" t="s">
        <v>72</v>
      </c>
      <c r="C86" s="29" t="s">
        <v>247</v>
      </c>
      <c r="D86" s="29"/>
      <c r="E86" s="29"/>
      <c r="F86" s="29"/>
      <c r="G86" s="37"/>
      <c r="H86" s="2"/>
      <c r="I86" s="2"/>
    </row>
    <row r="87" customFormat="false" ht="13.45" hidden="false" customHeight="false" outlineLevel="0" collapsed="false">
      <c r="A87" s="40"/>
      <c r="B87" s="48" t="s">
        <v>213</v>
      </c>
      <c r="C87" s="49" t="s">
        <v>248</v>
      </c>
      <c r="D87" s="49" t="s">
        <v>33</v>
      </c>
      <c r="E87" s="49"/>
      <c r="F87" s="49"/>
      <c r="G87" s="50"/>
      <c r="H87" s="40"/>
      <c r="I87" s="40"/>
    </row>
    <row r="88" customFormat="false" ht="13.45" hidden="false" customHeight="false" outlineLevel="0" collapsed="false">
      <c r="A88" s="40"/>
      <c r="B88" s="40" t="s">
        <v>215</v>
      </c>
      <c r="C88" s="40" t="s">
        <v>173</v>
      </c>
      <c r="D88" s="40" t="s">
        <v>39</v>
      </c>
      <c r="E88" s="40" t="s">
        <v>216</v>
      </c>
      <c r="F88" s="40"/>
      <c r="G88" s="40"/>
      <c r="H88" s="40"/>
      <c r="I88" s="40"/>
    </row>
    <row r="89" customFormat="false" ht="13.45" hidden="false" customHeight="false" outlineLevel="0" collapsed="false">
      <c r="A89" s="40"/>
      <c r="B89" s="51" t="s">
        <v>46</v>
      </c>
      <c r="C89" s="18" t="s">
        <v>239</v>
      </c>
      <c r="D89" s="18"/>
      <c r="E89" s="18" t="s">
        <v>72</v>
      </c>
      <c r="F89" s="18" t="s">
        <v>249</v>
      </c>
      <c r="G89" s="52"/>
      <c r="H89" s="40"/>
      <c r="I89" s="40"/>
    </row>
    <row r="90" customFormat="false" ht="13.45" hidden="false" customHeight="false" outlineLevel="0" collapsed="false">
      <c r="A90" s="40"/>
      <c r="B90" s="2" t="s">
        <v>48</v>
      </c>
      <c r="C90" s="2" t="s">
        <v>250</v>
      </c>
      <c r="D90" s="40"/>
      <c r="E90" s="40"/>
      <c r="F90" s="40"/>
      <c r="G90" s="40"/>
      <c r="H90" s="40"/>
      <c r="I90" s="40"/>
    </row>
    <row r="91" customFormat="false" ht="14.1" hidden="false" customHeight="false" outlineLevel="0" collapsed="false">
      <c r="A91" s="2"/>
      <c r="B91" s="2"/>
      <c r="C91" s="2" t="s">
        <v>52</v>
      </c>
      <c r="D91" s="40" t="s">
        <v>251</v>
      </c>
      <c r="E91" s="40" t="s">
        <v>72</v>
      </c>
      <c r="F91" s="40" t="s">
        <v>252</v>
      </c>
      <c r="G91" s="2"/>
      <c r="H91" s="2"/>
      <c r="I91" s="2"/>
    </row>
    <row r="92" customFormat="false" ht="13.45" hidden="false" customHeight="false" outlineLevel="0" collapsed="false">
      <c r="A92" s="2"/>
      <c r="B92" s="2"/>
      <c r="C92" s="2" t="s">
        <v>52</v>
      </c>
      <c r="D92" s="2" t="s">
        <v>225</v>
      </c>
      <c r="E92" s="2"/>
      <c r="F92" s="2"/>
      <c r="G92" s="2"/>
      <c r="H92" s="2"/>
      <c r="I92" s="2"/>
    </row>
    <row r="93" customFormat="false" ht="13.45" hidden="false" customHeight="false" outlineLevel="0" collapsed="false">
      <c r="A93" s="2"/>
      <c r="B93" s="2"/>
      <c r="C93" s="2" t="s">
        <v>62</v>
      </c>
      <c r="D93" s="2" t="s">
        <v>63</v>
      </c>
      <c r="E93" s="2"/>
      <c r="F93" s="2"/>
      <c r="G93" s="2"/>
      <c r="H93" s="2"/>
      <c r="I93" s="2"/>
    </row>
    <row r="94" customFormat="false" ht="13.4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</row>
    <row r="95" customFormat="false" ht="13.45" hidden="false" customHeight="false" outlineLevel="0" collapsed="false">
      <c r="A95" s="2"/>
      <c r="B95" s="2"/>
      <c r="C95" s="2" t="s">
        <v>52</v>
      </c>
      <c r="D95" s="2" t="s">
        <v>253</v>
      </c>
      <c r="E95" s="2"/>
      <c r="F95" s="2"/>
      <c r="G95" s="2"/>
      <c r="H95" s="2"/>
      <c r="I95" s="2"/>
    </row>
    <row r="96" customFormat="false" ht="13.45" hidden="false" customHeight="false" outlineLevel="0" collapsed="false">
      <c r="A96" s="2"/>
      <c r="B96" s="2"/>
      <c r="C96" s="2" t="s">
        <v>52</v>
      </c>
      <c r="D96" s="2" t="s">
        <v>254</v>
      </c>
      <c r="E96" s="2"/>
      <c r="F96" s="2"/>
      <c r="G96" s="2"/>
      <c r="H96" s="2"/>
      <c r="I96" s="2"/>
    </row>
    <row r="97" customFormat="false" ht="13.45" hidden="false" customHeight="false" outlineLevel="0" collapsed="false">
      <c r="A97" s="2"/>
      <c r="B97" s="2"/>
      <c r="C97" s="2" t="s">
        <v>230</v>
      </c>
      <c r="D97" s="2" t="s">
        <v>231</v>
      </c>
      <c r="E97" s="2" t="s">
        <v>232</v>
      </c>
      <c r="F97" s="2"/>
      <c r="G97" s="2"/>
      <c r="H97" s="2"/>
      <c r="I97" s="2"/>
    </row>
    <row r="98" customFormat="false" ht="13.45" hidden="false" customHeight="false" outlineLevel="0" collapsed="false">
      <c r="A98" s="2"/>
      <c r="B98" s="2"/>
      <c r="D98" s="2" t="s">
        <v>52</v>
      </c>
      <c r="E98" s="2" t="s">
        <v>255</v>
      </c>
      <c r="F98" s="2"/>
      <c r="G98" s="2"/>
      <c r="H98" s="2"/>
      <c r="I98" s="2"/>
    </row>
    <row r="99" customFormat="false" ht="13.45" hidden="false" customHeight="false" outlineLevel="0" collapsed="false">
      <c r="A99" s="2"/>
      <c r="B99" s="2"/>
      <c r="D99" s="2" t="s">
        <v>52</v>
      </c>
      <c r="E99" s="2" t="s">
        <v>256</v>
      </c>
      <c r="F99" s="2"/>
      <c r="G99" s="2"/>
      <c r="H99" s="2"/>
      <c r="I99" s="2"/>
    </row>
    <row r="100" customFormat="false" ht="13.45" hidden="false" customHeight="false" outlineLevel="0" collapsed="false">
      <c r="A100" s="2"/>
      <c r="B100" s="2"/>
      <c r="C100" s="2" t="s">
        <v>237</v>
      </c>
      <c r="D100" s="2"/>
      <c r="E100" s="2"/>
      <c r="F100" s="2"/>
      <c r="G100" s="2"/>
      <c r="H100" s="2"/>
      <c r="I100" s="2"/>
    </row>
    <row r="101" customFormat="false" ht="13.4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</row>
    <row r="102" customFormat="false" ht="13.45" hidden="false" customHeight="false" outlineLevel="0" collapsed="false">
      <c r="A102" s="2"/>
      <c r="B102" s="2"/>
      <c r="C102" s="2" t="s">
        <v>52</v>
      </c>
      <c r="D102" s="2" t="s">
        <v>257</v>
      </c>
      <c r="E102" s="2"/>
      <c r="F102" s="2"/>
      <c r="G102" s="2"/>
      <c r="H102" s="2"/>
      <c r="I102" s="2"/>
    </row>
    <row r="103" customFormat="false" ht="13.45" hidden="false" customHeight="false" outlineLevel="0" collapsed="false">
      <c r="A103" s="2"/>
      <c r="B103" s="2"/>
      <c r="C103" s="2" t="s">
        <v>52</v>
      </c>
      <c r="D103" s="2" t="s">
        <v>258</v>
      </c>
      <c r="E103" s="2"/>
      <c r="F103" s="2"/>
      <c r="G103" s="2"/>
      <c r="H103" s="2"/>
      <c r="I103" s="2"/>
    </row>
    <row r="104" customFormat="false" ht="13.4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</row>
    <row r="105" customFormat="false" ht="13.45" hidden="false" customHeight="false" outlineLevel="0" collapsed="false">
      <c r="A105" s="2" t="s">
        <v>72</v>
      </c>
      <c r="B105" s="2" t="s">
        <v>259</v>
      </c>
      <c r="C105" s="2" t="s">
        <v>260</v>
      </c>
      <c r="D105" s="2"/>
      <c r="E105" s="2"/>
      <c r="F105" s="2"/>
      <c r="G105" s="2"/>
      <c r="H105" s="2"/>
      <c r="I105" s="2"/>
    </row>
    <row r="106" customFormat="false" ht="13.45" hidden="false" customHeight="false" outlineLevel="0" collapsed="false">
      <c r="A106" s="2" t="s">
        <v>72</v>
      </c>
      <c r="B106" s="2"/>
      <c r="C106" s="2" t="s">
        <v>52</v>
      </c>
      <c r="D106" s="2" t="s">
        <v>255</v>
      </c>
      <c r="F106" s="2"/>
      <c r="G106" s="2"/>
      <c r="H106" s="2"/>
      <c r="I106" s="2"/>
    </row>
    <row r="107" customFormat="false" ht="13.45" hidden="false" customHeight="false" outlineLevel="0" collapsed="false">
      <c r="A107" s="2"/>
      <c r="B107" s="2" t="s">
        <v>67</v>
      </c>
      <c r="C107" s="2"/>
      <c r="D107" s="2"/>
      <c r="E107" s="2"/>
      <c r="F107" s="2"/>
      <c r="G107" s="2"/>
      <c r="H107" s="2"/>
      <c r="I107" s="2"/>
    </row>
    <row r="108" customFormat="false" ht="13.45" hidden="false" customHeight="false" outlineLevel="0" collapsed="false">
      <c r="A108" s="2"/>
      <c r="B108" s="51" t="s">
        <v>46</v>
      </c>
      <c r="C108" s="18" t="s">
        <v>63</v>
      </c>
      <c r="D108" s="18"/>
      <c r="E108" s="18" t="s">
        <v>72</v>
      </c>
      <c r="F108" s="18" t="s">
        <v>261</v>
      </c>
      <c r="G108" s="52"/>
      <c r="H108" s="2"/>
      <c r="I108" s="2"/>
    </row>
    <row r="109" customFormat="false" ht="13.45" hidden="false" customHeight="false" outlineLevel="0" collapsed="false">
      <c r="A109" s="2"/>
      <c r="B109" s="2" t="s">
        <v>48</v>
      </c>
      <c r="C109" s="2" t="s">
        <v>262</v>
      </c>
      <c r="D109" s="2"/>
      <c r="E109" s="2"/>
      <c r="F109" s="2"/>
      <c r="G109" s="2"/>
      <c r="H109" s="2"/>
      <c r="I109" s="2"/>
    </row>
    <row r="110" customFormat="false" ht="13.45" hidden="false" customHeight="false" outlineLevel="0" collapsed="false">
      <c r="A110" s="2"/>
      <c r="B110" s="2"/>
      <c r="C110" s="2" t="s">
        <v>57</v>
      </c>
      <c r="D110" s="1" t="s">
        <v>98</v>
      </c>
      <c r="E110" s="2" t="s">
        <v>159</v>
      </c>
      <c r="F110" s="2" t="s">
        <v>221</v>
      </c>
      <c r="G110" s="2" t="s">
        <v>263</v>
      </c>
      <c r="H110" s="2"/>
      <c r="I110" s="2"/>
    </row>
    <row r="111" customFormat="false" ht="13.45" hidden="false" customHeight="false" outlineLevel="0" collapsed="false">
      <c r="A111" s="2"/>
      <c r="B111" s="2" t="s">
        <v>72</v>
      </c>
      <c r="C111" s="2" t="s">
        <v>52</v>
      </c>
      <c r="D111" s="2" t="s">
        <v>264</v>
      </c>
      <c r="E111" s="2"/>
      <c r="F111" s="2"/>
      <c r="G111" s="2"/>
      <c r="H111" s="2"/>
      <c r="I111" s="2"/>
    </row>
    <row r="112" customFormat="false" ht="13.45" hidden="false" customHeight="false" outlineLevel="0" collapsed="false">
      <c r="A112" s="2"/>
      <c r="B112" s="2"/>
      <c r="C112" s="2" t="s">
        <v>62</v>
      </c>
      <c r="D112" s="2" t="s">
        <v>239</v>
      </c>
      <c r="E112" s="2"/>
      <c r="F112" s="2"/>
      <c r="G112" s="2"/>
      <c r="H112" s="2"/>
      <c r="I112" s="2"/>
    </row>
    <row r="113" customFormat="false" ht="13.45" hidden="false" customHeight="false" outlineLevel="0" collapsed="false">
      <c r="A113" s="2"/>
      <c r="B113" s="2" t="s">
        <v>64</v>
      </c>
      <c r="C113" s="2"/>
      <c r="D113" s="2"/>
      <c r="E113" s="2"/>
      <c r="F113" s="2"/>
      <c r="G113" s="2"/>
      <c r="H113" s="2"/>
      <c r="I113" s="2"/>
    </row>
    <row r="114" customFormat="false" ht="13.45" hidden="false" customHeight="false" outlineLevel="0" collapsed="false">
      <c r="A114" s="2"/>
      <c r="B114" s="2"/>
      <c r="C114" s="2" t="s">
        <v>52</v>
      </c>
      <c r="D114" s="2" t="s">
        <v>246</v>
      </c>
      <c r="E114" s="2"/>
      <c r="F114" s="2"/>
      <c r="G114" s="2"/>
      <c r="H114" s="2"/>
      <c r="I114" s="2"/>
    </row>
    <row r="115" customFormat="false" ht="13.45" hidden="false" customHeight="false" outlineLevel="0" collapsed="false">
      <c r="A115" s="2"/>
      <c r="B115" s="2" t="s">
        <v>67</v>
      </c>
      <c r="C115" s="2"/>
      <c r="D115" s="2"/>
      <c r="E115" s="2"/>
      <c r="F115" s="2"/>
      <c r="G115" s="2"/>
      <c r="H115" s="2"/>
      <c r="I115" s="2"/>
    </row>
    <row r="116" customFormat="false" ht="13.4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38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M21" activeCellId="0" sqref="M21"/>
    </sheetView>
  </sheetViews>
  <sheetFormatPr defaultColWidth="8.9296875" defaultRowHeight="13.45" customHeight="false" zeroHeight="false" outlineLevelRow="0" outlineLevelCol="0"/>
  <cols>
    <col collapsed="false" customWidth="true" hidden="false" outlineLevel="0" max="1" min="1" style="1" width="1.95"/>
    <col collapsed="false" customWidth="true" hidden="false" outlineLevel="0" max="2" min="2" style="1" width="10.25"/>
    <col collapsed="false" customWidth="true" hidden="false" outlineLevel="0" max="3" min="3" style="1" width="15.08"/>
    <col collapsed="false" customWidth="true" hidden="false" outlineLevel="0" max="4" min="4" style="1" width="6.58"/>
    <col collapsed="false" customWidth="true" hidden="false" outlineLevel="0" max="6" min="5" style="1" width="3.95"/>
    <col collapsed="false" customWidth="true" hidden="false" outlineLevel="0" max="7" min="7" style="1" width="3.45"/>
    <col collapsed="false" customWidth="true" hidden="false" outlineLevel="0" max="8" min="8" style="1" width="15.08"/>
    <col collapsed="false" customWidth="false" hidden="false" outlineLevel="0" max="257" min="9" style="1" width="8.93"/>
  </cols>
  <sheetData>
    <row r="2" customFormat="false" ht="13.45" hidden="false" customHeight="false" outlineLevel="0" collapsed="false">
      <c r="A2" s="5"/>
      <c r="B2" s="16" t="s">
        <v>72</v>
      </c>
      <c r="C2" s="17" t="s">
        <v>73</v>
      </c>
      <c r="D2" s="18"/>
      <c r="E2" s="17"/>
      <c r="F2" s="17"/>
      <c r="G2" s="17"/>
      <c r="H2" s="19"/>
      <c r="I2" s="5"/>
    </row>
    <row r="3" customFormat="false" ht="13.45" hidden="false" customHeight="false" outlineLevel="0" collapsed="false">
      <c r="A3" s="5"/>
      <c r="B3" s="20" t="s">
        <v>74</v>
      </c>
      <c r="C3" s="20" t="s">
        <v>33</v>
      </c>
      <c r="D3" s="20" t="s">
        <v>75</v>
      </c>
      <c r="E3" s="21" t="n">
        <v>1</v>
      </c>
      <c r="F3" s="22"/>
      <c r="G3" s="22" t="s">
        <v>72</v>
      </c>
      <c r="H3" s="22" t="s">
        <v>76</v>
      </c>
      <c r="I3" s="5"/>
    </row>
    <row r="4" customFormat="false" ht="13.45" hidden="false" customHeight="false" outlineLevel="0" collapsed="false">
      <c r="A4" s="5"/>
      <c r="B4" s="20" t="s">
        <v>74</v>
      </c>
      <c r="C4" s="20" t="s">
        <v>159</v>
      </c>
      <c r="D4" s="20" t="s">
        <v>75</v>
      </c>
      <c r="E4" s="21" t="n">
        <v>1</v>
      </c>
      <c r="F4" s="22"/>
      <c r="G4" s="22" t="s">
        <v>72</v>
      </c>
      <c r="H4" s="22" t="s">
        <v>76</v>
      </c>
      <c r="I4" s="5"/>
    </row>
    <row r="5" customFormat="false" ht="14.1" hidden="false" customHeight="false" outlineLevel="0" collapsed="false">
      <c r="A5" s="5"/>
      <c r="B5" s="20" t="s">
        <v>74</v>
      </c>
      <c r="C5" s="20" t="s">
        <v>77</v>
      </c>
      <c r="D5" s="20" t="s">
        <v>85</v>
      </c>
      <c r="E5" s="21" t="s">
        <v>30</v>
      </c>
      <c r="F5" s="22" t="s">
        <v>265</v>
      </c>
      <c r="G5" s="22" t="s">
        <v>72</v>
      </c>
      <c r="H5" s="22" t="s">
        <v>78</v>
      </c>
      <c r="I5" s="5"/>
    </row>
    <row r="6" customFormat="false" ht="14.1" hidden="false" customHeight="false" outlineLevel="0" collapsed="false">
      <c r="A6" s="5"/>
      <c r="B6" s="16" t="s">
        <v>72</v>
      </c>
      <c r="C6" s="17" t="s">
        <v>79</v>
      </c>
      <c r="D6" s="18"/>
      <c r="E6" s="17"/>
      <c r="F6" s="17"/>
      <c r="G6" s="17"/>
      <c r="H6" s="19"/>
      <c r="I6" s="5"/>
    </row>
    <row r="7" customFormat="false" ht="14.1" hidden="false" customHeight="false" outlineLevel="0" collapsed="false">
      <c r="A7" s="5"/>
      <c r="B7" s="20" t="s">
        <v>74</v>
      </c>
      <c r="C7" s="20" t="s">
        <v>80</v>
      </c>
      <c r="D7" s="20" t="s">
        <v>85</v>
      </c>
      <c r="E7" s="21" t="n">
        <v>1</v>
      </c>
      <c r="F7" s="22" t="s">
        <v>265</v>
      </c>
      <c r="G7" s="22" t="s">
        <v>72</v>
      </c>
      <c r="H7" s="22" t="s">
        <v>81</v>
      </c>
      <c r="I7" s="5"/>
    </row>
    <row r="8" customFormat="false" ht="14.1" hidden="false" customHeight="false" outlineLevel="0" collapsed="false">
      <c r="A8" s="5"/>
      <c r="B8" s="20" t="s">
        <v>74</v>
      </c>
      <c r="C8" s="20" t="s">
        <v>82</v>
      </c>
      <c r="D8" s="20" t="s">
        <v>85</v>
      </c>
      <c r="E8" s="21" t="n">
        <v>32</v>
      </c>
      <c r="F8" s="22" t="s">
        <v>86</v>
      </c>
      <c r="G8" s="22" t="s">
        <v>72</v>
      </c>
      <c r="H8" s="22" t="s">
        <v>83</v>
      </c>
      <c r="I8" s="5"/>
    </row>
    <row r="9" customFormat="false" ht="14.1" hidden="false" customHeight="false" outlineLevel="0" collapsed="false">
      <c r="A9" s="5"/>
      <c r="B9" s="20" t="s">
        <v>74</v>
      </c>
      <c r="C9" s="20" t="s">
        <v>84</v>
      </c>
      <c r="D9" s="20" t="s">
        <v>99</v>
      </c>
      <c r="E9" s="21" t="s">
        <v>30</v>
      </c>
      <c r="F9" s="22"/>
      <c r="G9" s="22" t="s">
        <v>72</v>
      </c>
      <c r="H9" s="25" t="s">
        <v>88</v>
      </c>
      <c r="I9" s="5"/>
    </row>
    <row r="10" customFormat="false" ht="13.45" hidden="false" customHeight="false" outlineLevel="0" collapsed="false">
      <c r="A10" s="5"/>
      <c r="B10" s="16" t="s">
        <v>72</v>
      </c>
      <c r="C10" s="17" t="s">
        <v>89</v>
      </c>
      <c r="D10" s="18"/>
      <c r="E10" s="17"/>
      <c r="F10" s="17"/>
      <c r="G10" s="17"/>
      <c r="H10" s="19"/>
      <c r="I10" s="5"/>
    </row>
    <row r="11" customFormat="false" ht="14.1" hidden="false" customHeight="false" outlineLevel="0" collapsed="false">
      <c r="A11" s="5"/>
      <c r="B11" s="20" t="s">
        <v>74</v>
      </c>
      <c r="C11" s="20" t="s">
        <v>90</v>
      </c>
      <c r="D11" s="20" t="s">
        <v>99</v>
      </c>
      <c r="E11" s="21" t="n">
        <v>1</v>
      </c>
      <c r="F11" s="22"/>
      <c r="G11" s="22" t="s">
        <v>72</v>
      </c>
      <c r="H11" s="22" t="s">
        <v>81</v>
      </c>
      <c r="I11" s="5"/>
    </row>
    <row r="12" customFormat="false" ht="14.1" hidden="false" customHeight="false" outlineLevel="0" collapsed="false">
      <c r="A12" s="5"/>
      <c r="B12" s="20" t="s">
        <v>74</v>
      </c>
      <c r="C12" s="20" t="s">
        <v>91</v>
      </c>
      <c r="D12" s="20" t="s">
        <v>99</v>
      </c>
      <c r="E12" s="21" t="s">
        <v>92</v>
      </c>
      <c r="F12" s="22"/>
      <c r="G12" s="22" t="s">
        <v>72</v>
      </c>
      <c r="H12" s="22" t="s">
        <v>94</v>
      </c>
      <c r="I12" s="5"/>
    </row>
    <row r="13" customFormat="false" ht="14.1" hidden="false" customHeight="false" outlineLevel="0" collapsed="false">
      <c r="A13" s="5"/>
      <c r="B13" s="20" t="s">
        <v>74</v>
      </c>
      <c r="C13" s="20" t="s">
        <v>95</v>
      </c>
      <c r="D13" s="20" t="s">
        <v>99</v>
      </c>
      <c r="E13" s="21" t="s">
        <v>92</v>
      </c>
      <c r="F13" s="22"/>
      <c r="G13" s="22" t="s">
        <v>72</v>
      </c>
      <c r="H13" s="22" t="s">
        <v>97</v>
      </c>
      <c r="I13" s="5"/>
    </row>
    <row r="14" customFormat="false" ht="14.1" hidden="false" customHeight="false" outlineLevel="0" collapsed="false">
      <c r="A14" s="5"/>
      <c r="B14" s="20" t="s">
        <v>74</v>
      </c>
      <c r="C14" s="20" t="s">
        <v>98</v>
      </c>
      <c r="D14" s="20" t="s">
        <v>85</v>
      </c>
      <c r="E14" s="21" t="n">
        <v>1</v>
      </c>
      <c r="F14" s="20" t="s">
        <v>265</v>
      </c>
      <c r="G14" s="22" t="s">
        <v>72</v>
      </c>
      <c r="H14" s="22" t="s">
        <v>88</v>
      </c>
      <c r="I14" s="5"/>
    </row>
    <row r="15" customFormat="false" ht="13.45" hidden="false" customHeight="false" outlineLevel="0" collapsed="false">
      <c r="D15" s="5"/>
      <c r="E15" s="5"/>
      <c r="F15" s="5"/>
      <c r="G15" s="5"/>
      <c r="H15" s="5"/>
      <c r="I15" s="6"/>
      <c r="J15" s="6"/>
      <c r="K15" s="5"/>
    </row>
    <row r="16" customFormat="false" ht="13.45" hidden="false" customHeight="false" outlineLevel="0" collapsed="false">
      <c r="A16" s="2"/>
      <c r="B16" s="2" t="s">
        <v>266</v>
      </c>
      <c r="C16" s="2" t="s">
        <v>267</v>
      </c>
      <c r="D16" s="2"/>
      <c r="E16" s="2"/>
      <c r="F16" s="2"/>
      <c r="G16" s="2"/>
      <c r="H16" s="2"/>
      <c r="I16" s="40"/>
    </row>
    <row r="17" customFormat="false" ht="13.45" hidden="false" customHeight="false" outlineLevel="0" collapsed="false">
      <c r="A17" s="2"/>
      <c r="B17" s="2" t="s">
        <v>268</v>
      </c>
      <c r="C17" s="2" t="s">
        <v>269</v>
      </c>
      <c r="D17" s="2"/>
      <c r="E17" s="2"/>
      <c r="F17" s="2"/>
      <c r="G17" s="2"/>
      <c r="H17" s="2"/>
      <c r="I17" s="40"/>
    </row>
    <row r="18" customFormat="false" ht="13.45" hidden="false" customHeight="false" outlineLevel="0" collapsed="false">
      <c r="A18" s="2"/>
      <c r="B18" s="2" t="s">
        <v>270</v>
      </c>
      <c r="C18" s="2" t="s">
        <v>271</v>
      </c>
      <c r="D18" s="2" t="s">
        <v>39</v>
      </c>
      <c r="E18" s="2"/>
      <c r="F18" s="2"/>
      <c r="G18" s="2"/>
      <c r="H18" s="2"/>
      <c r="I18" s="40"/>
    </row>
    <row r="19" customFormat="false" ht="13.45" hidden="false" customHeight="false" outlineLevel="0" collapsed="false">
      <c r="A19" s="2"/>
      <c r="B19" s="2" t="s">
        <v>270</v>
      </c>
      <c r="C19" s="2" t="s">
        <v>272</v>
      </c>
      <c r="D19" s="2" t="s">
        <v>180</v>
      </c>
      <c r="E19" s="2"/>
      <c r="F19" s="2"/>
      <c r="G19" s="2"/>
      <c r="H19" s="2"/>
      <c r="I19" s="40"/>
    </row>
    <row r="20" customFormat="false" ht="13.45" hidden="false" customHeight="false" outlineLevel="0" collapsed="false">
      <c r="A20" s="2"/>
      <c r="B20" s="2" t="s">
        <v>270</v>
      </c>
      <c r="C20" s="2" t="s">
        <v>273</v>
      </c>
      <c r="D20" s="2" t="s">
        <v>182</v>
      </c>
      <c r="E20" s="2"/>
      <c r="F20" s="2"/>
      <c r="G20" s="2"/>
      <c r="H20" s="2"/>
      <c r="I20" s="40"/>
    </row>
    <row r="21" customFormat="false" ht="13.4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40"/>
    </row>
    <row r="22" customFormat="false" ht="13.45" hidden="false" customHeight="false" outlineLevel="0" collapsed="false">
      <c r="A22" s="2"/>
      <c r="B22" s="2" t="s">
        <v>274</v>
      </c>
      <c r="C22" s="2" t="s">
        <v>275</v>
      </c>
      <c r="D22" s="2"/>
      <c r="E22" s="2"/>
      <c r="F22" s="2"/>
      <c r="G22" s="2"/>
      <c r="H22" s="2"/>
      <c r="I22" s="40"/>
    </row>
    <row r="23" customFormat="false" ht="13.45" hidden="false" customHeight="false" outlineLevel="0" collapsed="false">
      <c r="A23" s="2"/>
      <c r="B23" s="2" t="s">
        <v>268</v>
      </c>
      <c r="C23" s="2" t="s">
        <v>276</v>
      </c>
      <c r="D23" s="2"/>
      <c r="E23" s="2"/>
      <c r="F23" s="2"/>
      <c r="G23" s="2"/>
      <c r="H23" s="2"/>
      <c r="I23" s="40"/>
    </row>
    <row r="24" customFormat="false" ht="13.45" hidden="false" customHeight="false" outlineLevel="0" collapsed="false">
      <c r="A24" s="2"/>
      <c r="B24" s="2" t="s">
        <v>270</v>
      </c>
      <c r="C24" s="2" t="s">
        <v>277</v>
      </c>
      <c r="D24" s="2" t="s">
        <v>39</v>
      </c>
      <c r="E24" s="2"/>
      <c r="F24" s="2"/>
      <c r="G24" s="2"/>
      <c r="H24" s="2"/>
      <c r="I24" s="40"/>
    </row>
    <row r="25" customFormat="false" ht="13.45" hidden="false" customHeight="false" outlineLevel="0" collapsed="false">
      <c r="A25" s="2"/>
      <c r="B25" s="2" t="s">
        <v>270</v>
      </c>
      <c r="C25" s="2" t="s">
        <v>278</v>
      </c>
      <c r="D25" s="2" t="s">
        <v>180</v>
      </c>
      <c r="E25" s="2"/>
      <c r="F25" s="2"/>
      <c r="G25" s="2"/>
      <c r="H25" s="2"/>
      <c r="I25" s="40"/>
    </row>
    <row r="26" customFormat="false" ht="13.45" hidden="false" customHeight="false" outlineLevel="0" collapsed="false">
      <c r="A26" s="2"/>
      <c r="B26" s="2" t="s">
        <v>270</v>
      </c>
      <c r="C26" s="2" t="s">
        <v>279</v>
      </c>
      <c r="D26" s="2" t="s">
        <v>182</v>
      </c>
      <c r="E26" s="2"/>
      <c r="F26" s="2"/>
      <c r="G26" s="2"/>
      <c r="H26" s="2"/>
      <c r="I26" s="40"/>
    </row>
    <row r="28" customFormat="false" ht="13.45" hidden="false" customHeight="false" outlineLevel="0" collapsed="false">
      <c r="B28" s="2" t="s">
        <v>266</v>
      </c>
      <c r="C28" s="2" t="s">
        <v>280</v>
      </c>
      <c r="D28" s="2"/>
    </row>
    <row r="29" customFormat="false" ht="13.45" hidden="false" customHeight="false" outlineLevel="0" collapsed="false">
      <c r="A29" s="2"/>
      <c r="B29" s="2" t="s">
        <v>268</v>
      </c>
      <c r="C29" s="2" t="s">
        <v>281</v>
      </c>
      <c r="D29" s="2"/>
      <c r="E29" s="2"/>
      <c r="F29" s="2"/>
      <c r="G29" s="2"/>
      <c r="H29" s="2"/>
      <c r="I29" s="40"/>
    </row>
    <row r="30" customFormat="false" ht="13.45" hidden="false" customHeight="false" outlineLevel="0" collapsed="false">
      <c r="B30" s="2" t="s">
        <v>270</v>
      </c>
      <c r="C30" s="2" t="s">
        <v>282</v>
      </c>
      <c r="D30" s="2" t="s">
        <v>39</v>
      </c>
    </row>
    <row r="31" customFormat="false" ht="13.45" hidden="false" customHeight="false" outlineLevel="0" collapsed="false">
      <c r="B31" s="2" t="s">
        <v>270</v>
      </c>
      <c r="C31" s="2" t="s">
        <v>283</v>
      </c>
      <c r="D31" s="2" t="s">
        <v>180</v>
      </c>
    </row>
    <row r="32" customFormat="false" ht="13.45" hidden="false" customHeight="false" outlineLevel="0" collapsed="false">
      <c r="B32" s="2" t="s">
        <v>270</v>
      </c>
      <c r="C32" s="2" t="s">
        <v>284</v>
      </c>
      <c r="D32" s="2" t="s">
        <v>182</v>
      </c>
    </row>
    <row r="33" customFormat="false" ht="13.45" hidden="false" customHeight="false" outlineLevel="0" collapsed="false">
      <c r="B33" s="2"/>
      <c r="C33" s="2"/>
      <c r="D33" s="2"/>
    </row>
    <row r="34" customFormat="false" ht="13.45" hidden="false" customHeight="false" outlineLevel="0" collapsed="false">
      <c r="B34" s="2" t="s">
        <v>274</v>
      </c>
      <c r="C34" s="2" t="s">
        <v>285</v>
      </c>
      <c r="D34" s="2" t="s">
        <v>182</v>
      </c>
    </row>
    <row r="35" customFormat="false" ht="13.45" hidden="false" customHeight="false" outlineLevel="0" collapsed="false">
      <c r="A35" s="2"/>
      <c r="B35" s="2" t="s">
        <v>268</v>
      </c>
      <c r="C35" s="2" t="s">
        <v>286</v>
      </c>
      <c r="D35" s="2"/>
      <c r="E35" s="2"/>
      <c r="F35" s="2"/>
      <c r="G35" s="2"/>
      <c r="H35" s="2"/>
      <c r="I35" s="40"/>
    </row>
    <row r="36" customFormat="false" ht="13.45" hidden="false" customHeight="false" outlineLevel="0" collapsed="false">
      <c r="B36" s="2" t="s">
        <v>270</v>
      </c>
      <c r="C36" s="2" t="s">
        <v>287</v>
      </c>
      <c r="D36" s="2" t="s">
        <v>39</v>
      </c>
    </row>
    <row r="37" customFormat="false" ht="13.45" hidden="false" customHeight="false" outlineLevel="0" collapsed="false">
      <c r="B37" s="2" t="s">
        <v>270</v>
      </c>
      <c r="C37" s="2" t="s">
        <v>288</v>
      </c>
      <c r="D37" s="2" t="s">
        <v>180</v>
      </c>
    </row>
    <row r="38" customFormat="false" ht="13.45" hidden="false" customHeight="false" outlineLevel="0" collapsed="false">
      <c r="B38" s="2" t="s">
        <v>270</v>
      </c>
      <c r="C38" s="2" t="s">
        <v>289</v>
      </c>
      <c r="D38" s="2" t="s">
        <v>182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75"/>
  <sheetViews>
    <sheetView showFormulas="false" showGridLines="true" showRowColHeaders="true" showZeros="true" rightToLeft="false" tabSelected="false" showOutlineSymbols="true" defaultGridColor="true" view="normal" topLeftCell="A63" colorId="64" zoomScale="95" zoomScaleNormal="95" zoomScalePageLayoutView="100" workbookViewId="0">
      <selection pane="topLeft" activeCell="J75" activeCellId="0" sqref="J75"/>
    </sheetView>
  </sheetViews>
  <sheetFormatPr defaultColWidth="8.9296875" defaultRowHeight="13.45" customHeight="false" zeroHeight="false" outlineLevelRow="0" outlineLevelCol="0"/>
  <cols>
    <col collapsed="false" customWidth="true" hidden="false" outlineLevel="0" max="1" min="1" style="1" width="2.45"/>
    <col collapsed="false" customWidth="false" hidden="false" outlineLevel="0" max="2" min="2" style="1" width="8.93"/>
    <col collapsed="false" customWidth="true" hidden="false" outlineLevel="0" max="3" min="3" style="1" width="8.08"/>
    <col collapsed="false" customWidth="true" hidden="false" outlineLevel="0" max="4" min="4" style="1" width="10.25"/>
    <col collapsed="false" customWidth="true" hidden="false" outlineLevel="0" max="5" min="5" style="1" width="11.25"/>
    <col collapsed="false" customWidth="true" hidden="false" outlineLevel="0" max="6" min="6" style="1" width="7.58"/>
    <col collapsed="false" customWidth="true" hidden="false" outlineLevel="0" max="7" min="7" style="1" width="5.08"/>
    <col collapsed="false" customWidth="false" hidden="false" outlineLevel="0" max="257" min="8" style="1" width="8.93"/>
  </cols>
  <sheetData>
    <row r="1" customFormat="false" ht="13.45" hidden="false" customHeight="false" outlineLevel="0" collapsed="false">
      <c r="B1" s="53" t="s">
        <v>72</v>
      </c>
      <c r="C1" s="54"/>
      <c r="D1" s="54"/>
      <c r="E1" s="54"/>
      <c r="F1" s="54"/>
      <c r="G1" s="54"/>
      <c r="H1" s="55"/>
    </row>
    <row r="2" customFormat="false" ht="13.45" hidden="false" customHeight="false" outlineLevel="0" collapsed="false">
      <c r="B2" s="56" t="s">
        <v>72</v>
      </c>
      <c r="C2" s="57" t="s">
        <v>290</v>
      </c>
      <c r="D2" s="57"/>
      <c r="E2" s="57"/>
      <c r="F2" s="57"/>
      <c r="G2" s="57"/>
      <c r="H2" s="58"/>
    </row>
    <row r="3" customFormat="false" ht="13.45" hidden="false" customHeight="false" outlineLevel="0" collapsed="false">
      <c r="B3" s="59" t="s">
        <v>72</v>
      </c>
      <c r="C3" s="60"/>
      <c r="D3" s="60"/>
      <c r="E3" s="60"/>
      <c r="F3" s="60"/>
      <c r="G3" s="60"/>
      <c r="H3" s="61"/>
    </row>
    <row r="5" customFormat="false" ht="13.45" hidden="false" customHeight="false" outlineLevel="0" collapsed="false">
      <c r="B5" s="2" t="s">
        <v>23</v>
      </c>
      <c r="C5" s="2" t="s">
        <v>291</v>
      </c>
    </row>
    <row r="7" customFormat="false" ht="13.45" hidden="false" customHeight="false" outlineLevel="0" collapsed="false">
      <c r="B7" s="62" t="s">
        <v>72</v>
      </c>
      <c r="C7" s="63" t="s">
        <v>292</v>
      </c>
      <c r="D7" s="63"/>
      <c r="E7" s="63"/>
      <c r="F7" s="63"/>
      <c r="G7" s="64"/>
    </row>
    <row r="8" customFormat="false" ht="13.45" hidden="false" customHeight="false" outlineLevel="0" collapsed="false">
      <c r="B8" s="65" t="s">
        <v>293</v>
      </c>
      <c r="C8" s="66" t="s">
        <v>294</v>
      </c>
      <c r="D8" s="66" t="s">
        <v>295</v>
      </c>
      <c r="E8" s="66" t="str">
        <f aca="false">CONCATENATE("i_",E9)</f>
        <v>i_main</v>
      </c>
      <c r="F8" s="66" t="str">
        <f aca="false">CONCATENATE("i_",F9)</f>
        <v>i_model</v>
      </c>
      <c r="G8" s="67" t="str">
        <f aca="false">CONCATENATE("i_",G9)</f>
        <v>i_clk</v>
      </c>
      <c r="H8" s="67" t="str">
        <f aca="false">CONCATENATE("i_",H9)</f>
        <v>i_cover</v>
      </c>
    </row>
    <row r="9" customFormat="false" ht="13.45" hidden="false" customHeight="false" outlineLevel="0" collapsed="false">
      <c r="B9" s="68" t="s">
        <v>296</v>
      </c>
      <c r="C9" s="69"/>
      <c r="D9" s="69"/>
      <c r="E9" s="70" t="s">
        <v>160</v>
      </c>
      <c r="F9" s="69" t="s">
        <v>297</v>
      </c>
      <c r="G9" s="71" t="s">
        <v>33</v>
      </c>
      <c r="H9" s="71" t="s">
        <v>298</v>
      </c>
    </row>
    <row r="10" customFormat="false" ht="14.1" hidden="false" customHeight="false" outlineLevel="0" collapsed="false">
      <c r="B10" s="72" t="s">
        <v>299</v>
      </c>
      <c r="C10" s="73" t="n">
        <v>1</v>
      </c>
      <c r="D10" s="74" t="s">
        <v>150</v>
      </c>
      <c r="E10" s="74" t="s">
        <v>150</v>
      </c>
      <c r="F10" s="73"/>
      <c r="G10" s="75" t="s">
        <v>150</v>
      </c>
    </row>
    <row r="11" customFormat="false" ht="13.45" hidden="false" customHeight="false" outlineLevel="0" collapsed="false">
      <c r="B11" s="76" t="s">
        <v>299</v>
      </c>
      <c r="C11" s="21" t="n">
        <v>1</v>
      </c>
      <c r="D11" s="20" t="s">
        <v>33</v>
      </c>
      <c r="E11" s="20" t="s">
        <v>33</v>
      </c>
      <c r="F11" s="20" t="s">
        <v>33</v>
      </c>
      <c r="G11" s="77" t="s">
        <v>33</v>
      </c>
      <c r="H11" s="77" t="s">
        <v>33</v>
      </c>
    </row>
    <row r="12" customFormat="false" ht="14.1" hidden="false" customHeight="false" outlineLevel="0" collapsed="false">
      <c r="B12" s="76" t="s">
        <v>299</v>
      </c>
      <c r="C12" s="21" t="n">
        <v>1</v>
      </c>
      <c r="D12" s="20" t="s">
        <v>77</v>
      </c>
      <c r="E12" s="20" t="s">
        <v>77</v>
      </c>
      <c r="F12" s="20" t="s">
        <v>77</v>
      </c>
      <c r="G12" s="77"/>
    </row>
    <row r="13" customFormat="false" ht="13.45" hidden="false" customHeight="false" outlineLevel="0" collapsed="false">
      <c r="B13" s="76" t="s">
        <v>299</v>
      </c>
      <c r="C13" s="21" t="n">
        <v>1</v>
      </c>
      <c r="D13" s="20" t="s">
        <v>80</v>
      </c>
      <c r="E13" s="20" t="s">
        <v>80</v>
      </c>
      <c r="F13" s="20" t="s">
        <v>80</v>
      </c>
      <c r="G13" s="78"/>
    </row>
    <row r="14" customFormat="false" ht="13.45" hidden="false" customHeight="false" outlineLevel="0" collapsed="false">
      <c r="B14" s="76" t="s">
        <v>299</v>
      </c>
      <c r="C14" s="21" t="n">
        <v>32</v>
      </c>
      <c r="D14" s="20" t="s">
        <v>82</v>
      </c>
      <c r="E14" s="20" t="s">
        <v>82</v>
      </c>
      <c r="F14" s="20" t="s">
        <v>82</v>
      </c>
      <c r="G14" s="77"/>
    </row>
    <row r="15" customFormat="false" ht="13.45" hidden="false" customHeight="false" outlineLevel="0" collapsed="false">
      <c r="B15" s="76" t="s">
        <v>299</v>
      </c>
      <c r="C15" s="21" t="s">
        <v>30</v>
      </c>
      <c r="D15" s="20" t="s">
        <v>84</v>
      </c>
      <c r="E15" s="20" t="s">
        <v>84</v>
      </c>
      <c r="F15" s="20" t="s">
        <v>84</v>
      </c>
      <c r="G15" s="77"/>
    </row>
    <row r="16" customFormat="false" ht="13.45" hidden="false" customHeight="false" outlineLevel="0" collapsed="false">
      <c r="B16" s="76" t="s">
        <v>299</v>
      </c>
      <c r="C16" s="21" t="n">
        <v>1</v>
      </c>
      <c r="D16" s="20" t="s">
        <v>90</v>
      </c>
      <c r="E16" s="20" t="s">
        <v>90</v>
      </c>
      <c r="F16" s="20" t="s">
        <v>90</v>
      </c>
      <c r="G16" s="77"/>
    </row>
    <row r="17" customFormat="false" ht="14.1" hidden="false" customHeight="false" outlineLevel="0" collapsed="false">
      <c r="B17" s="76" t="s">
        <v>299</v>
      </c>
      <c r="C17" s="21" t="s">
        <v>92</v>
      </c>
      <c r="D17" s="20" t="s">
        <v>91</v>
      </c>
      <c r="E17" s="20" t="s">
        <v>91</v>
      </c>
      <c r="F17" s="20" t="s">
        <v>91</v>
      </c>
      <c r="G17" s="77"/>
    </row>
    <row r="18" customFormat="false" ht="14.1" hidden="false" customHeight="false" outlineLevel="0" collapsed="false">
      <c r="B18" s="76" t="s">
        <v>299</v>
      </c>
      <c r="C18" s="21" t="s">
        <v>92</v>
      </c>
      <c r="D18" s="20" t="s">
        <v>95</v>
      </c>
      <c r="E18" s="20" t="s">
        <v>95</v>
      </c>
      <c r="F18" s="20" t="s">
        <v>95</v>
      </c>
      <c r="G18" s="77"/>
    </row>
    <row r="19" customFormat="false" ht="13.45" hidden="false" customHeight="false" outlineLevel="0" collapsed="false">
      <c r="B19" s="79" t="s">
        <v>299</v>
      </c>
      <c r="C19" s="80" t="n">
        <v>1</v>
      </c>
      <c r="D19" s="81" t="s">
        <v>98</v>
      </c>
      <c r="E19" s="81" t="s">
        <v>98</v>
      </c>
      <c r="F19" s="81" t="s">
        <v>98</v>
      </c>
      <c r="G19" s="82"/>
    </row>
    <row r="20" customFormat="false" ht="13.45" hidden="false" customHeight="false" outlineLevel="0" collapsed="false">
      <c r="B20" s="79" t="s">
        <v>299</v>
      </c>
      <c r="C20" s="40" t="s">
        <v>30</v>
      </c>
      <c r="D20" s="2" t="s">
        <v>267</v>
      </c>
      <c r="E20" s="2" t="s">
        <v>267</v>
      </c>
      <c r="F20" s="5"/>
      <c r="G20" s="5"/>
    </row>
    <row r="21" customFormat="false" ht="13.45" hidden="false" customHeight="false" outlineLevel="0" collapsed="false">
      <c r="B21" s="79" t="s">
        <v>299</v>
      </c>
      <c r="C21" s="40" t="s">
        <v>30</v>
      </c>
      <c r="D21" s="2" t="s">
        <v>269</v>
      </c>
      <c r="E21" s="2" t="s">
        <v>269</v>
      </c>
      <c r="F21" s="5"/>
      <c r="G21" s="5"/>
    </row>
    <row r="22" customFormat="false" ht="13.45" hidden="false" customHeight="false" outlineLevel="0" collapsed="false">
      <c r="B22" s="79" t="s">
        <v>299</v>
      </c>
      <c r="C22" s="2" t="s">
        <v>39</v>
      </c>
      <c r="D22" s="2" t="s">
        <v>271</v>
      </c>
      <c r="E22" s="2" t="s">
        <v>271</v>
      </c>
      <c r="F22" s="5"/>
      <c r="G22" s="5"/>
    </row>
    <row r="23" customFormat="false" ht="13.45" hidden="false" customHeight="false" outlineLevel="0" collapsed="false">
      <c r="B23" s="79" t="s">
        <v>299</v>
      </c>
      <c r="C23" s="2" t="s">
        <v>180</v>
      </c>
      <c r="D23" s="2" t="s">
        <v>272</v>
      </c>
      <c r="E23" s="2" t="s">
        <v>272</v>
      </c>
      <c r="F23" s="5"/>
      <c r="G23" s="5"/>
    </row>
    <row r="24" customFormat="false" ht="13.45" hidden="false" customHeight="false" outlineLevel="0" collapsed="false">
      <c r="B24" s="79" t="s">
        <v>299</v>
      </c>
      <c r="C24" s="2" t="s">
        <v>182</v>
      </c>
      <c r="D24" s="2" t="s">
        <v>273</v>
      </c>
      <c r="E24" s="2" t="s">
        <v>273</v>
      </c>
      <c r="F24" s="5"/>
      <c r="G24" s="5"/>
    </row>
    <row r="25" customFormat="false" ht="13.45" hidden="false" customHeight="false" outlineLevel="0" collapsed="false">
      <c r="B25" s="79" t="s">
        <v>299</v>
      </c>
      <c r="C25" s="40"/>
      <c r="D25" s="2" t="s">
        <v>267</v>
      </c>
      <c r="E25" s="2" t="s">
        <v>275</v>
      </c>
      <c r="F25" s="5"/>
      <c r="G25" s="5"/>
    </row>
    <row r="26" customFormat="false" ht="13.45" hidden="false" customHeight="false" outlineLevel="0" collapsed="false">
      <c r="B26" s="79" t="s">
        <v>299</v>
      </c>
      <c r="C26" s="40"/>
      <c r="D26" s="2" t="s">
        <v>269</v>
      </c>
      <c r="E26" s="2" t="s">
        <v>276</v>
      </c>
      <c r="F26" s="5"/>
      <c r="G26" s="5"/>
    </row>
    <row r="27" customFormat="false" ht="13.45" hidden="false" customHeight="false" outlineLevel="0" collapsed="false">
      <c r="B27" s="79" t="s">
        <v>299</v>
      </c>
      <c r="C27" s="2"/>
      <c r="D27" s="2" t="s">
        <v>271</v>
      </c>
      <c r="E27" s="2" t="s">
        <v>277</v>
      </c>
      <c r="F27" s="5"/>
      <c r="G27" s="5"/>
    </row>
    <row r="28" customFormat="false" ht="13.45" hidden="false" customHeight="false" outlineLevel="0" collapsed="false">
      <c r="B28" s="79" t="s">
        <v>299</v>
      </c>
      <c r="C28" s="2"/>
      <c r="D28" s="2" t="s">
        <v>272</v>
      </c>
      <c r="E28" s="2" t="s">
        <v>278</v>
      </c>
      <c r="F28" s="5"/>
      <c r="G28" s="5"/>
    </row>
    <row r="29" customFormat="false" ht="13.45" hidden="false" customHeight="false" outlineLevel="0" collapsed="false">
      <c r="B29" s="79" t="s">
        <v>299</v>
      </c>
      <c r="C29" s="2"/>
      <c r="D29" s="2" t="s">
        <v>273</v>
      </c>
      <c r="E29" s="2" t="s">
        <v>279</v>
      </c>
      <c r="F29" s="5"/>
      <c r="G29" s="5"/>
    </row>
    <row r="30" customFormat="false" ht="13.45" hidden="false" customHeight="false" outlineLevel="0" collapsed="false">
      <c r="B30" s="79" t="s">
        <v>299</v>
      </c>
      <c r="C30" s="40" t="s">
        <v>30</v>
      </c>
      <c r="D30" s="2" t="s">
        <v>280</v>
      </c>
      <c r="E30" s="2" t="s">
        <v>280</v>
      </c>
      <c r="F30" s="5"/>
      <c r="G30" s="5"/>
    </row>
    <row r="31" customFormat="false" ht="13.45" hidden="false" customHeight="false" outlineLevel="0" collapsed="false">
      <c r="B31" s="79" t="s">
        <v>299</v>
      </c>
      <c r="C31" s="40" t="s">
        <v>30</v>
      </c>
      <c r="D31" s="2" t="s">
        <v>281</v>
      </c>
      <c r="E31" s="2" t="s">
        <v>281</v>
      </c>
      <c r="F31" s="5"/>
      <c r="G31" s="5"/>
    </row>
    <row r="32" customFormat="false" ht="13.45" hidden="false" customHeight="false" outlineLevel="0" collapsed="false">
      <c r="B32" s="79" t="s">
        <v>299</v>
      </c>
      <c r="C32" s="2" t="s">
        <v>39</v>
      </c>
      <c r="D32" s="2" t="s">
        <v>282</v>
      </c>
      <c r="E32" s="2" t="s">
        <v>282</v>
      </c>
      <c r="F32" s="5"/>
      <c r="G32" s="5"/>
    </row>
    <row r="33" customFormat="false" ht="13.45" hidden="false" customHeight="false" outlineLevel="0" collapsed="false">
      <c r="B33" s="79" t="s">
        <v>299</v>
      </c>
      <c r="C33" s="2" t="s">
        <v>180</v>
      </c>
      <c r="D33" s="2" t="s">
        <v>283</v>
      </c>
      <c r="E33" s="2" t="s">
        <v>283</v>
      </c>
      <c r="F33" s="5"/>
      <c r="G33" s="5"/>
    </row>
    <row r="34" customFormat="false" ht="13.45" hidden="false" customHeight="false" outlineLevel="0" collapsed="false">
      <c r="B34" s="79" t="s">
        <v>299</v>
      </c>
      <c r="C34" s="2" t="s">
        <v>182</v>
      </c>
      <c r="D34" s="2" t="s">
        <v>284</v>
      </c>
      <c r="E34" s="2" t="s">
        <v>284</v>
      </c>
      <c r="F34" s="5"/>
      <c r="G34" s="5"/>
    </row>
    <row r="35" customFormat="false" ht="13.45" hidden="false" customHeight="false" outlineLevel="0" collapsed="false">
      <c r="B35" s="79" t="s">
        <v>299</v>
      </c>
      <c r="C35" s="40"/>
      <c r="D35" s="2" t="s">
        <v>280</v>
      </c>
      <c r="E35" s="2" t="s">
        <v>285</v>
      </c>
      <c r="F35" s="5"/>
      <c r="G35" s="5"/>
    </row>
    <row r="36" customFormat="false" ht="13.45" hidden="false" customHeight="false" outlineLevel="0" collapsed="false">
      <c r="B36" s="79" t="s">
        <v>299</v>
      </c>
      <c r="C36" s="40"/>
      <c r="D36" s="2" t="s">
        <v>281</v>
      </c>
      <c r="E36" s="2" t="s">
        <v>286</v>
      </c>
      <c r="F36" s="5"/>
      <c r="G36" s="5"/>
    </row>
    <row r="37" customFormat="false" ht="13.45" hidden="false" customHeight="false" outlineLevel="0" collapsed="false">
      <c r="B37" s="79" t="s">
        <v>299</v>
      </c>
      <c r="C37" s="2"/>
      <c r="D37" s="2" t="s">
        <v>282</v>
      </c>
      <c r="E37" s="2" t="s">
        <v>287</v>
      </c>
      <c r="F37" s="5"/>
      <c r="G37" s="5"/>
    </row>
    <row r="38" customFormat="false" ht="13.45" hidden="false" customHeight="false" outlineLevel="0" collapsed="false">
      <c r="B38" s="79" t="s">
        <v>299</v>
      </c>
      <c r="C38" s="2"/>
      <c r="D38" s="2" t="s">
        <v>283</v>
      </c>
      <c r="E38" s="2" t="s">
        <v>288</v>
      </c>
      <c r="F38" s="5"/>
      <c r="G38" s="5"/>
    </row>
    <row r="39" customFormat="false" ht="13.45" hidden="false" customHeight="false" outlineLevel="0" collapsed="false">
      <c r="B39" s="79" t="s">
        <v>299</v>
      </c>
      <c r="C39" s="2"/>
      <c r="D39" s="2" t="s">
        <v>284</v>
      </c>
      <c r="E39" s="2" t="s">
        <v>289</v>
      </c>
      <c r="F39" s="5"/>
      <c r="G39" s="5"/>
    </row>
    <row r="40" customFormat="false" ht="13.45" hidden="false" customHeight="false" outlineLevel="0" collapsed="false">
      <c r="B40" s="6"/>
      <c r="C40" s="40"/>
      <c r="D40" s="5"/>
      <c r="E40" s="5"/>
      <c r="F40" s="5"/>
      <c r="G40" s="5"/>
    </row>
    <row r="41" customFormat="false" ht="13.45" hidden="false" customHeight="false" outlineLevel="0" collapsed="false">
      <c r="B41" s="6"/>
      <c r="C41" s="40"/>
      <c r="D41" s="5"/>
      <c r="E41" s="5"/>
      <c r="F41" s="5"/>
      <c r="G41" s="5"/>
    </row>
    <row r="42" customFormat="false" ht="13.45" hidden="false" customHeight="false" outlineLevel="0" collapsed="false">
      <c r="B42" s="6"/>
      <c r="C42" s="40"/>
      <c r="D42" s="5"/>
      <c r="E42" s="5"/>
      <c r="F42" s="5"/>
      <c r="G42" s="5"/>
    </row>
    <row r="43" customFormat="false" ht="13.45" hidden="false" customHeight="false" outlineLevel="0" collapsed="false">
      <c r="B43" s="6"/>
      <c r="C43" s="40"/>
      <c r="D43" s="5"/>
      <c r="E43" s="5"/>
      <c r="F43" s="5"/>
      <c r="G43" s="5"/>
    </row>
    <row r="44" customFormat="false" ht="13.45" hidden="false" customHeight="false" outlineLevel="0" collapsed="false">
      <c r="B44" s="6"/>
      <c r="C44" s="40"/>
      <c r="D44" s="5"/>
      <c r="E44" s="5"/>
      <c r="F44" s="5"/>
      <c r="G44" s="5"/>
    </row>
    <row r="47" customFormat="false" ht="13.45" hidden="false" customHeight="false" outlineLevel="0" collapsed="false">
      <c r="B47" s="2" t="s">
        <v>136</v>
      </c>
      <c r="C47" s="39" t="s">
        <v>139</v>
      </c>
    </row>
    <row r="48" customFormat="false" ht="13.45" hidden="false" customHeight="false" outlineLevel="0" collapsed="false">
      <c r="B48" s="2" t="s">
        <v>138</v>
      </c>
      <c r="C48" s="39"/>
    </row>
    <row r="49" customFormat="false" ht="13.45" hidden="false" customHeight="false" outlineLevel="0" collapsed="false">
      <c r="B49" s="1" t="s">
        <v>136</v>
      </c>
      <c r="C49" s="1" t="s">
        <v>300</v>
      </c>
    </row>
    <row r="50" customFormat="false" ht="13.45" hidden="false" customHeight="false" outlineLevel="0" collapsed="false">
      <c r="B50" s="1" t="s">
        <v>136</v>
      </c>
      <c r="C50" s="1" t="s">
        <v>301</v>
      </c>
    </row>
    <row r="51" customFormat="false" ht="13.45" hidden="false" customHeight="false" outlineLevel="0" collapsed="false">
      <c r="B51" s="1" t="s">
        <v>136</v>
      </c>
      <c r="C51" s="1" t="s">
        <v>302</v>
      </c>
    </row>
    <row r="52" customFormat="false" ht="13.45" hidden="false" customHeight="false" outlineLevel="0" collapsed="false">
      <c r="B52" s="2" t="s">
        <v>145</v>
      </c>
      <c r="C52" s="39"/>
    </row>
    <row r="53" customFormat="false" ht="13.45" hidden="false" customHeight="false" outlineLevel="0" collapsed="false">
      <c r="B53" s="2" t="s">
        <v>136</v>
      </c>
      <c r="C53" s="41" t="s">
        <v>146</v>
      </c>
    </row>
    <row r="56" customFormat="false" ht="13.45" hidden="false" customHeight="false" outlineLevel="0" collapsed="false">
      <c r="B56" s="83" t="s">
        <v>303</v>
      </c>
      <c r="C56" s="83" t="s">
        <v>304</v>
      </c>
      <c r="D56" s="83" t="s">
        <v>305</v>
      </c>
      <c r="E56" s="83" t="s">
        <v>306</v>
      </c>
    </row>
    <row r="57" customFormat="false" ht="13.45" hidden="false" customHeight="false" outlineLevel="0" collapsed="false">
      <c r="B57" s="83" t="s">
        <v>307</v>
      </c>
      <c r="C57" s="83" t="s">
        <v>308</v>
      </c>
      <c r="D57" s="84" t="n">
        <v>1</v>
      </c>
      <c r="E57" s="83"/>
    </row>
    <row r="58" customFormat="false" ht="14.1" hidden="false" customHeight="false" outlineLevel="0" collapsed="false">
      <c r="B58" s="83" t="s">
        <v>307</v>
      </c>
      <c r="C58" s="83" t="s">
        <v>309</v>
      </c>
      <c r="D58" s="84" t="n">
        <v>5</v>
      </c>
      <c r="E58" s="83"/>
    </row>
    <row r="59" customFormat="false" ht="14.1" hidden="false" customHeight="false" outlineLevel="0" collapsed="false">
      <c r="B59" s="83" t="s">
        <v>307</v>
      </c>
      <c r="C59" s="83" t="s">
        <v>310</v>
      </c>
      <c r="D59" s="84" t="n">
        <v>2</v>
      </c>
      <c r="E59" s="83"/>
    </row>
    <row r="60" customFormat="false" ht="14.1" hidden="false" customHeight="false" outlineLevel="0" collapsed="false">
      <c r="B60" s="83" t="s">
        <v>307</v>
      </c>
      <c r="C60" s="83" t="s">
        <v>311</v>
      </c>
      <c r="D60" s="84" t="n">
        <v>8</v>
      </c>
      <c r="E60" s="83"/>
    </row>
    <row r="61" customFormat="false" ht="14.1" hidden="false" customHeight="false" outlineLevel="0" collapsed="false">
      <c r="B61" s="83" t="s">
        <v>307</v>
      </c>
      <c r="C61" s="83" t="s">
        <v>312</v>
      </c>
      <c r="D61" s="84" t="n">
        <v>8</v>
      </c>
      <c r="E61" s="83"/>
    </row>
    <row r="62" customFormat="false" ht="14.1" hidden="false" customHeight="false" outlineLevel="0" collapsed="false">
      <c r="B62" s="83" t="s">
        <v>307</v>
      </c>
      <c r="C62" s="83" t="s">
        <v>313</v>
      </c>
      <c r="D62" s="84" t="n">
        <v>1</v>
      </c>
      <c r="E62" s="85"/>
    </row>
    <row r="65" customFormat="false" ht="13.45" hidden="false" customHeight="false" outlineLevel="0" collapsed="false">
      <c r="B65" s="83" t="s">
        <v>303</v>
      </c>
      <c r="C65" s="83" t="s">
        <v>314</v>
      </c>
      <c r="D65" s="83" t="s">
        <v>315</v>
      </c>
      <c r="E65" s="83" t="s">
        <v>316</v>
      </c>
    </row>
    <row r="66" customFormat="false" ht="13.45" hidden="false" customHeight="false" outlineLevel="0" collapsed="false">
      <c r="B66" s="83" t="s">
        <v>307</v>
      </c>
      <c r="C66" s="83" t="s">
        <v>317</v>
      </c>
      <c r="D66" s="84" t="n">
        <v>1</v>
      </c>
      <c r="E66" s="83"/>
    </row>
    <row r="67" customFormat="false" ht="13.45" hidden="false" customHeight="false" outlineLevel="0" collapsed="false">
      <c r="B67" s="83" t="s">
        <v>307</v>
      </c>
      <c r="C67" s="83" t="s">
        <v>318</v>
      </c>
      <c r="D67" s="84" t="n">
        <v>5</v>
      </c>
      <c r="E67" s="83"/>
    </row>
    <row r="68" customFormat="false" ht="13.45" hidden="false" customHeight="false" outlineLevel="0" collapsed="false">
      <c r="B68" s="83"/>
      <c r="C68" s="83"/>
      <c r="D68" s="84"/>
      <c r="E68" s="83"/>
    </row>
    <row r="69" customFormat="false" ht="13.45" hidden="false" customHeight="false" outlineLevel="0" collapsed="false">
      <c r="B69" s="83"/>
      <c r="C69" s="83"/>
      <c r="D69" s="84"/>
      <c r="E69" s="83"/>
    </row>
    <row r="70" customFormat="false" ht="13.45" hidden="false" customHeight="false" outlineLevel="0" collapsed="false">
      <c r="B70" s="83" t="s">
        <v>303</v>
      </c>
      <c r="C70" s="83" t="s">
        <v>319</v>
      </c>
      <c r="D70" s="83" t="s">
        <v>320</v>
      </c>
      <c r="E70" s="83" t="s">
        <v>321</v>
      </c>
    </row>
    <row r="71" customFormat="false" ht="13.45" hidden="false" customHeight="false" outlineLevel="0" collapsed="false">
      <c r="B71" s="83" t="s">
        <v>307</v>
      </c>
      <c r="C71" s="83" t="s">
        <v>322</v>
      </c>
      <c r="D71" s="84" t="n">
        <v>1</v>
      </c>
      <c r="E71" s="83"/>
    </row>
    <row r="72" customFormat="false" ht="13.45" hidden="false" customHeight="false" outlineLevel="0" collapsed="false">
      <c r="B72" s="83" t="s">
        <v>307</v>
      </c>
      <c r="C72" s="83" t="s">
        <v>323</v>
      </c>
      <c r="D72" s="84" t="n">
        <v>5</v>
      </c>
      <c r="E72" s="83"/>
    </row>
    <row r="73" customFormat="false" ht="13.45" hidden="false" customHeight="false" outlineLevel="0" collapsed="false">
      <c r="B73" s="83" t="s">
        <v>307</v>
      </c>
      <c r="C73" s="83" t="s">
        <v>324</v>
      </c>
      <c r="D73" s="84" t="n">
        <v>9</v>
      </c>
    </row>
    <row r="74" customFormat="false" ht="13.45" hidden="false" customHeight="false" outlineLevel="0" collapsed="false">
      <c r="B74" s="83" t="s">
        <v>307</v>
      </c>
      <c r="C74" s="83" t="s">
        <v>325</v>
      </c>
      <c r="D74" s="84" t="n">
        <v>1</v>
      </c>
    </row>
    <row r="75" customFormat="false" ht="13.45" hidden="false" customHeight="false" outlineLevel="0" collapsed="false">
      <c r="B75" s="83" t="s">
        <v>307</v>
      </c>
      <c r="C75" s="83" t="s">
        <v>326</v>
      </c>
      <c r="D75" s="84" t="n">
        <v>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89"/>
  <sheetViews>
    <sheetView showFormulas="false" showGridLines="true" showRowColHeaders="true" showZeros="true" rightToLeft="false" tabSelected="false" showOutlineSymbols="true" defaultGridColor="true" view="normal" topLeftCell="B77" colorId="64" zoomScale="95" zoomScaleNormal="95" zoomScalePageLayoutView="100" workbookViewId="0">
      <selection pane="topLeft" activeCell="F98" activeCellId="0" sqref="F98"/>
    </sheetView>
  </sheetViews>
  <sheetFormatPr defaultColWidth="8.9296875" defaultRowHeight="13.45" customHeight="false" zeroHeight="false" outlineLevelRow="0" outlineLevelCol="0"/>
  <cols>
    <col collapsed="false" customWidth="true" hidden="false" outlineLevel="0" max="1" min="1" style="1" width="2.75"/>
    <col collapsed="false" customWidth="true" hidden="false" outlineLevel="0" max="2" min="2" style="1" width="9.95"/>
    <col collapsed="false" customWidth="true" hidden="false" outlineLevel="0" max="3" min="3" style="1" width="15.96"/>
    <col collapsed="false" customWidth="true" hidden="false" outlineLevel="0" max="4" min="4" style="1" width="7.95"/>
    <col collapsed="false" customWidth="true" hidden="false" outlineLevel="0" max="5" min="5" style="1" width="10.95"/>
    <col collapsed="false" customWidth="true" hidden="false" outlineLevel="0" max="6" min="6" style="1" width="12.25"/>
    <col collapsed="false" customWidth="true" hidden="false" outlineLevel="0" max="9" min="7" style="1" width="9.08"/>
    <col collapsed="false" customWidth="false" hidden="false" outlineLevel="0" max="257" min="10" style="1" width="8.93"/>
  </cols>
  <sheetData>
    <row r="2" customFormat="false" ht="13.45" hidden="false" customHeight="false" outlineLevel="0" collapsed="false">
      <c r="A2" s="5"/>
      <c r="B2" s="5" t="s">
        <v>327</v>
      </c>
      <c r="C2" s="6" t="s">
        <v>3</v>
      </c>
      <c r="D2" s="5"/>
      <c r="E2" s="5"/>
      <c r="F2" s="5"/>
      <c r="G2" s="5"/>
      <c r="H2" s="5"/>
      <c r="I2" s="5"/>
    </row>
    <row r="3" customFormat="false" ht="13.45" hidden="false" customHeight="false" outlineLevel="0" collapsed="false">
      <c r="A3" s="5"/>
      <c r="B3" s="5"/>
      <c r="C3" s="6"/>
      <c r="D3" s="5"/>
      <c r="E3" s="5"/>
      <c r="F3" s="5"/>
      <c r="G3" s="5"/>
      <c r="H3" s="5"/>
      <c r="I3" s="5"/>
    </row>
    <row r="4" customFormat="false" ht="13.45" hidden="false" customHeight="false" outlineLevel="0" collapsed="false">
      <c r="A4" s="2"/>
      <c r="B4" s="5" t="s">
        <v>328</v>
      </c>
      <c r="C4" s="6" t="s">
        <v>3</v>
      </c>
      <c r="D4" s="5"/>
      <c r="E4" s="5"/>
      <c r="F4" s="5"/>
      <c r="G4" s="5"/>
      <c r="H4" s="5"/>
      <c r="I4" s="5"/>
    </row>
    <row r="5" customFormat="false" ht="13.45" hidden="false" customHeight="false" outlineLevel="0" collapsed="false">
      <c r="A5" s="2"/>
      <c r="B5" s="86" t="s">
        <v>72</v>
      </c>
      <c r="C5" s="32" t="s">
        <v>329</v>
      </c>
      <c r="D5" s="87"/>
      <c r="E5" s="33"/>
      <c r="F5" s="5"/>
      <c r="G5" s="5"/>
      <c r="H5" s="5"/>
      <c r="I5" s="5"/>
    </row>
    <row r="6" customFormat="false" ht="13.45" hidden="false" customHeight="false" outlineLevel="0" collapsed="false">
      <c r="B6" s="5" t="s">
        <v>330</v>
      </c>
      <c r="C6" s="5" t="s">
        <v>331</v>
      </c>
      <c r="D6" s="5" t="s">
        <v>332</v>
      </c>
      <c r="E6" s="5" t="s">
        <v>333</v>
      </c>
      <c r="F6" s="5"/>
      <c r="G6" s="5"/>
      <c r="H6" s="5"/>
      <c r="I6" s="5"/>
    </row>
    <row r="7" customFormat="false" ht="13.45" hidden="false" customHeight="false" outlineLevel="0" collapsed="false">
      <c r="B7" s="5" t="s">
        <v>330</v>
      </c>
      <c r="C7" s="5" t="s">
        <v>334</v>
      </c>
      <c r="D7" s="5" t="s">
        <v>332</v>
      </c>
      <c r="E7" s="5" t="s">
        <v>335</v>
      </c>
      <c r="F7" s="5"/>
      <c r="G7" s="5"/>
      <c r="H7" s="5"/>
      <c r="I7" s="5"/>
    </row>
    <row r="8" customFormat="false" ht="13.45" hidden="false" customHeight="false" outlineLevel="0" collapsed="false">
      <c r="B8" s="5" t="s">
        <v>330</v>
      </c>
      <c r="C8" s="5" t="s">
        <v>336</v>
      </c>
      <c r="D8" s="5" t="s">
        <v>332</v>
      </c>
      <c r="E8" s="5" t="s">
        <v>337</v>
      </c>
      <c r="F8" s="5"/>
      <c r="G8" s="5"/>
      <c r="H8" s="5"/>
      <c r="I8" s="5"/>
      <c r="J8" s="5"/>
      <c r="K8" s="5"/>
    </row>
    <row r="9" customFormat="false" ht="13.45" hidden="false" customHeight="false" outlineLevel="0" collapsed="false">
      <c r="B9" s="5" t="s">
        <v>330</v>
      </c>
      <c r="C9" s="5" t="s">
        <v>338</v>
      </c>
      <c r="D9" s="5" t="s">
        <v>332</v>
      </c>
      <c r="E9" s="5" t="s">
        <v>339</v>
      </c>
      <c r="F9" s="5"/>
      <c r="G9" s="5"/>
      <c r="H9" s="5"/>
      <c r="I9" s="5"/>
      <c r="J9" s="5"/>
      <c r="K9" s="5"/>
    </row>
    <row r="10" customFormat="false" ht="12.75" hidden="false" customHeight="true" outlineLevel="0" collapsed="false">
      <c r="A10" s="2"/>
      <c r="B10" s="2"/>
      <c r="C10" s="2"/>
      <c r="D10" s="5"/>
      <c r="E10" s="5"/>
      <c r="F10" s="5"/>
      <c r="G10" s="5"/>
      <c r="H10" s="5"/>
      <c r="I10" s="5"/>
    </row>
    <row r="11" customFormat="false" ht="13.45" hidden="false" customHeight="false" outlineLevel="0" collapsed="false">
      <c r="A11" s="2"/>
      <c r="B11" s="5" t="s">
        <v>328</v>
      </c>
      <c r="C11" s="6" t="s">
        <v>340</v>
      </c>
      <c r="D11" s="5"/>
      <c r="E11" s="5"/>
      <c r="F11" s="5"/>
      <c r="G11" s="5"/>
      <c r="H11" s="5"/>
      <c r="I11" s="5"/>
    </row>
    <row r="12" customFormat="false" ht="13.4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</row>
    <row r="13" customFormat="false" ht="14.1" hidden="false" customHeight="false" outlineLevel="0" collapsed="false">
      <c r="A13" s="2"/>
      <c r="B13" s="86" t="s">
        <v>72</v>
      </c>
      <c r="C13" s="32" t="s">
        <v>341</v>
      </c>
      <c r="D13" s="87"/>
      <c r="E13" s="33"/>
      <c r="F13" s="2"/>
      <c r="G13" s="2"/>
      <c r="H13" s="2"/>
      <c r="I13" s="2"/>
    </row>
    <row r="14" customFormat="false" ht="13.45" hidden="false" customHeight="false" outlineLevel="0" collapsed="false">
      <c r="A14" s="2"/>
      <c r="B14" s="2" t="s">
        <v>328</v>
      </c>
      <c r="C14" s="5" t="s">
        <v>333</v>
      </c>
      <c r="D14" s="2"/>
      <c r="E14" s="2"/>
      <c r="F14" s="2"/>
      <c r="G14" s="2"/>
      <c r="H14" s="2"/>
      <c r="I14" s="2"/>
    </row>
    <row r="15" customFormat="false" ht="13.45" hidden="false" customHeight="false" outlineLevel="0" collapsed="false">
      <c r="A15" s="2"/>
      <c r="B15" s="5" t="s">
        <v>342</v>
      </c>
      <c r="C15" s="40" t="s">
        <v>190</v>
      </c>
      <c r="D15" s="88" t="s">
        <v>191</v>
      </c>
      <c r="E15" s="2"/>
      <c r="F15" s="2"/>
      <c r="G15" s="2"/>
      <c r="H15" s="2"/>
      <c r="I15" s="2"/>
    </row>
    <row r="16" customFormat="false" ht="13.45" hidden="false" customHeight="false" outlineLevel="0" collapsed="false">
      <c r="A16" s="2"/>
      <c r="B16" s="4" t="s">
        <v>343</v>
      </c>
      <c r="C16" s="4" t="s">
        <v>192</v>
      </c>
      <c r="D16" s="4" t="n">
        <v>0</v>
      </c>
      <c r="E16" s="4" t="n">
        <v>5</v>
      </c>
      <c r="F16" s="2"/>
      <c r="G16" s="2"/>
      <c r="H16" s="2"/>
      <c r="I16" s="2"/>
    </row>
    <row r="17" customFormat="false" ht="13.45" hidden="false" customHeight="false" outlineLevel="0" collapsed="false">
      <c r="A17" s="2"/>
      <c r="B17" s="4" t="s">
        <v>343</v>
      </c>
      <c r="C17" s="4" t="s">
        <v>195</v>
      </c>
      <c r="D17" s="4" t="n">
        <v>0</v>
      </c>
      <c r="E17" s="4" t="n">
        <v>5</v>
      </c>
      <c r="F17" s="2"/>
      <c r="G17" s="2"/>
      <c r="H17" s="2"/>
      <c r="I17" s="2"/>
    </row>
    <row r="18" customFormat="false" ht="13.45" hidden="false" customHeight="false" outlineLevel="0" collapsed="false">
      <c r="A18" s="2"/>
      <c r="B18" s="5" t="s">
        <v>344</v>
      </c>
      <c r="C18" s="5" t="s">
        <v>186</v>
      </c>
      <c r="D18" s="5"/>
      <c r="E18" s="5"/>
      <c r="F18" s="5"/>
      <c r="G18" s="5"/>
      <c r="H18" s="5"/>
      <c r="I18" s="5"/>
    </row>
    <row r="19" customFormat="false" ht="13.45" hidden="false" customHeight="false" outlineLevel="0" collapsed="false">
      <c r="A19" s="2"/>
      <c r="B19" s="44" t="s">
        <v>72</v>
      </c>
      <c r="C19" s="89" t="s">
        <v>190</v>
      </c>
      <c r="D19" s="90" t="s">
        <v>191</v>
      </c>
      <c r="E19" s="90" t="s">
        <v>192</v>
      </c>
      <c r="F19" s="5"/>
      <c r="G19" s="5"/>
      <c r="H19" s="5"/>
      <c r="I19" s="5"/>
    </row>
    <row r="20" customFormat="false" ht="13.45" hidden="false" customHeight="false" outlineLevel="0" collapsed="false">
      <c r="A20" s="2"/>
      <c r="B20" s="20" t="s">
        <v>345</v>
      </c>
      <c r="C20" s="20" t="s">
        <v>346</v>
      </c>
      <c r="D20" s="20" t="s">
        <v>347</v>
      </c>
      <c r="E20" s="20" t="s">
        <v>348</v>
      </c>
      <c r="F20" s="5"/>
      <c r="G20" s="5"/>
      <c r="H20" s="5"/>
      <c r="I20" s="5"/>
    </row>
    <row r="21" customFormat="false" ht="13.45" hidden="false" customHeight="false" outlineLevel="0" collapsed="false">
      <c r="A21" s="2"/>
      <c r="B21" s="5" t="s">
        <v>344</v>
      </c>
      <c r="C21" s="5" t="s">
        <v>194</v>
      </c>
      <c r="D21" s="2"/>
      <c r="E21" s="2"/>
      <c r="F21" s="5"/>
      <c r="G21" s="5"/>
      <c r="H21" s="5"/>
      <c r="I21" s="5"/>
    </row>
    <row r="22" customFormat="false" ht="13.45" hidden="false" customHeight="false" outlineLevel="0" collapsed="false">
      <c r="A22" s="2"/>
      <c r="B22" s="44" t="s">
        <v>72</v>
      </c>
      <c r="C22" s="89" t="s">
        <v>195</v>
      </c>
      <c r="D22" s="5"/>
      <c r="E22" s="5"/>
      <c r="F22" s="5"/>
      <c r="G22" s="5"/>
      <c r="H22" s="5"/>
      <c r="I22" s="5"/>
    </row>
    <row r="23" customFormat="false" ht="13.45" hidden="false" customHeight="false" outlineLevel="0" collapsed="false">
      <c r="A23" s="2"/>
      <c r="B23" s="20" t="s">
        <v>345</v>
      </c>
      <c r="C23" s="20" t="s">
        <v>349</v>
      </c>
      <c r="D23" s="5"/>
      <c r="E23" s="5"/>
      <c r="F23" s="5"/>
      <c r="G23" s="5"/>
      <c r="H23" s="5"/>
      <c r="I23" s="5"/>
    </row>
    <row r="24" customFormat="false" ht="13.45" hidden="false" customHeight="false" outlineLevel="0" collapsed="false">
      <c r="A24" s="2"/>
      <c r="B24" s="2"/>
      <c r="C24" s="2"/>
      <c r="D24" s="2"/>
      <c r="E24" s="2"/>
      <c r="F24" s="5"/>
      <c r="G24" s="5"/>
      <c r="H24" s="5"/>
      <c r="I24" s="5"/>
    </row>
    <row r="25" customFormat="false" ht="14.1" hidden="false" customHeight="false" outlineLevel="0" collapsed="false">
      <c r="A25" s="2"/>
      <c r="B25" s="86" t="s">
        <v>72</v>
      </c>
      <c r="C25" s="32" t="s">
        <v>350</v>
      </c>
      <c r="D25" s="87"/>
      <c r="E25" s="33"/>
      <c r="F25" s="5"/>
      <c r="G25" s="5"/>
      <c r="H25" s="5"/>
      <c r="I25" s="5"/>
    </row>
    <row r="26" customFormat="false" ht="13.45" hidden="false" customHeight="false" outlineLevel="0" collapsed="false">
      <c r="A26" s="2"/>
      <c r="B26" s="2" t="s">
        <v>328</v>
      </c>
      <c r="C26" s="5" t="s">
        <v>335</v>
      </c>
      <c r="D26" s="2"/>
      <c r="E26" s="2"/>
      <c r="F26" s="2"/>
      <c r="G26" s="2"/>
      <c r="H26" s="2"/>
      <c r="I26" s="2"/>
    </row>
    <row r="27" customFormat="false" ht="13.45" hidden="false" customHeight="false" outlineLevel="0" collapsed="false">
      <c r="A27" s="2"/>
      <c r="B27" s="5" t="s">
        <v>342</v>
      </c>
      <c r="C27" s="2" t="s">
        <v>173</v>
      </c>
      <c r="D27" s="2"/>
      <c r="E27" s="2"/>
      <c r="F27" s="2"/>
      <c r="G27" s="2"/>
      <c r="H27" s="2"/>
      <c r="I27" s="2"/>
    </row>
    <row r="28" customFormat="false" ht="13.45" hidden="false" customHeight="false" outlineLevel="0" collapsed="false">
      <c r="A28" s="2"/>
      <c r="B28" s="2" t="s">
        <v>230</v>
      </c>
      <c r="C28" s="2" t="s">
        <v>351</v>
      </c>
      <c r="D28" s="2" t="s">
        <v>352</v>
      </c>
      <c r="E28" s="2"/>
      <c r="F28" s="2"/>
      <c r="G28" s="2"/>
      <c r="H28" s="2"/>
      <c r="I28" s="2"/>
    </row>
    <row r="29" customFormat="false" ht="13.45" hidden="false" customHeight="false" outlineLevel="0" collapsed="false">
      <c r="A29" s="2"/>
      <c r="B29" s="2"/>
      <c r="C29" s="4" t="s">
        <v>343</v>
      </c>
      <c r="D29" s="40" t="s">
        <v>353</v>
      </c>
      <c r="E29" s="2" t="s">
        <v>216</v>
      </c>
      <c r="F29" s="2" t="s">
        <v>354</v>
      </c>
      <c r="G29" s="2"/>
      <c r="H29" s="2"/>
      <c r="I29" s="2"/>
    </row>
    <row r="30" customFormat="false" ht="13.45" hidden="false" customHeight="false" outlineLevel="0" collapsed="false">
      <c r="A30" s="2"/>
      <c r="B30" s="2"/>
      <c r="C30" s="4" t="s">
        <v>343</v>
      </c>
      <c r="D30" s="40" t="s">
        <v>355</v>
      </c>
      <c r="E30" s="2" t="s">
        <v>216</v>
      </c>
      <c r="F30" s="2" t="s">
        <v>354</v>
      </c>
      <c r="G30" s="2"/>
      <c r="H30" s="2"/>
      <c r="I30" s="2"/>
    </row>
    <row r="31" customFormat="false" ht="13.45" hidden="false" customHeight="false" outlineLevel="0" collapsed="false">
      <c r="A31" s="2"/>
      <c r="B31" s="2"/>
      <c r="C31" s="4" t="s">
        <v>343</v>
      </c>
      <c r="D31" s="88" t="s">
        <v>356</v>
      </c>
      <c r="E31" s="2" t="s">
        <v>216</v>
      </c>
      <c r="F31" s="2" t="s">
        <v>354</v>
      </c>
      <c r="G31" s="2"/>
      <c r="H31" s="2"/>
      <c r="I31" s="2"/>
    </row>
    <row r="32" customFormat="false" ht="13.45" hidden="false" customHeight="false" outlineLevel="0" collapsed="false">
      <c r="A32" s="2"/>
      <c r="B32" s="2"/>
      <c r="C32" s="4" t="s">
        <v>343</v>
      </c>
      <c r="D32" s="88" t="s">
        <v>357</v>
      </c>
      <c r="E32" s="2" t="s">
        <v>216</v>
      </c>
      <c r="F32" s="2" t="s">
        <v>354</v>
      </c>
      <c r="G32" s="2"/>
      <c r="H32" s="2"/>
      <c r="I32" s="2"/>
    </row>
    <row r="33" customFormat="false" ht="13.45" hidden="false" customHeight="false" outlineLevel="0" collapsed="false">
      <c r="A33" s="2"/>
      <c r="B33" s="2"/>
      <c r="C33" s="2" t="s">
        <v>358</v>
      </c>
      <c r="D33" s="2" t="s">
        <v>333</v>
      </c>
      <c r="E33" s="2" t="s">
        <v>359</v>
      </c>
      <c r="F33" s="2" t="s">
        <v>360</v>
      </c>
      <c r="G33" s="2"/>
      <c r="H33" s="2"/>
      <c r="I33" s="2"/>
    </row>
    <row r="34" customFormat="false" ht="13.45" hidden="false" customHeight="false" outlineLevel="0" collapsed="false">
      <c r="A34" s="2"/>
      <c r="B34" s="2" t="s">
        <v>237</v>
      </c>
      <c r="C34" s="2"/>
      <c r="D34" s="2"/>
      <c r="E34" s="2"/>
      <c r="F34" s="2"/>
      <c r="G34" s="2"/>
      <c r="H34" s="2"/>
      <c r="I34" s="2"/>
    </row>
    <row r="35" customFormat="false" ht="13.4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</row>
    <row r="36" customFormat="false" ht="13.45" hidden="false" customHeight="false" outlineLevel="0" collapsed="false">
      <c r="A36" s="2"/>
      <c r="B36" s="91" t="s">
        <v>72</v>
      </c>
      <c r="C36" s="92" t="s">
        <v>361</v>
      </c>
      <c r="D36" s="92"/>
      <c r="E36" s="92"/>
      <c r="F36" s="92"/>
      <c r="G36" s="92"/>
      <c r="H36" s="93"/>
      <c r="I36" s="5"/>
      <c r="J36" s="5"/>
      <c r="K36" s="5"/>
    </row>
    <row r="37" customFormat="false" ht="13.45" hidden="false" customHeight="false" outlineLevel="0" collapsed="false">
      <c r="A37" s="2"/>
      <c r="B37" s="5" t="s">
        <v>328</v>
      </c>
      <c r="C37" s="5" t="s">
        <v>337</v>
      </c>
      <c r="D37" s="5"/>
      <c r="E37" s="5"/>
      <c r="F37" s="5"/>
      <c r="G37" s="5"/>
      <c r="H37" s="5"/>
      <c r="I37" s="5"/>
      <c r="J37" s="5"/>
      <c r="K37" s="5"/>
    </row>
    <row r="38" customFormat="false" ht="13.45" hidden="false" customHeight="false" outlineLevel="0" collapsed="false">
      <c r="A38" s="2"/>
      <c r="B38" s="5" t="s">
        <v>362</v>
      </c>
      <c r="C38" s="5" t="s">
        <v>363</v>
      </c>
      <c r="D38" s="5"/>
      <c r="E38" s="5"/>
      <c r="F38" s="5"/>
      <c r="G38" s="5"/>
      <c r="H38" s="5"/>
      <c r="I38" s="5"/>
      <c r="J38" s="5"/>
      <c r="K38" s="5"/>
    </row>
    <row r="39" customFormat="false" ht="13.45" hidden="false" customHeight="false" outlineLevel="0" collapsed="false">
      <c r="A39" s="2"/>
      <c r="B39" s="5" t="s">
        <v>362</v>
      </c>
      <c r="C39" s="5" t="s">
        <v>364</v>
      </c>
      <c r="D39" s="5"/>
      <c r="E39" s="5"/>
      <c r="F39" s="5"/>
      <c r="G39" s="5"/>
      <c r="H39" s="5"/>
      <c r="I39" s="5"/>
      <c r="J39" s="5"/>
      <c r="K39" s="5"/>
    </row>
    <row r="40" customFormat="false" ht="13.45" hidden="false" customHeight="false" outlineLevel="0" collapsed="false">
      <c r="A40" s="2"/>
      <c r="B40" s="5" t="s">
        <v>362</v>
      </c>
      <c r="C40" s="5" t="s">
        <v>365</v>
      </c>
      <c r="D40" s="5"/>
      <c r="E40" s="5"/>
      <c r="F40" s="5"/>
      <c r="G40" s="5"/>
      <c r="H40" s="5"/>
      <c r="I40" s="5"/>
      <c r="J40" s="5"/>
      <c r="K40" s="5"/>
    </row>
    <row r="41" customFormat="false" ht="13.45" hidden="false" customHeight="false" outlineLevel="0" collapsed="false">
      <c r="A41" s="2"/>
      <c r="B41" s="5" t="s">
        <v>362</v>
      </c>
      <c r="C41" s="5" t="s">
        <v>366</v>
      </c>
      <c r="D41" s="5"/>
      <c r="E41" s="5"/>
      <c r="F41" s="5"/>
      <c r="G41" s="5"/>
      <c r="H41" s="5"/>
      <c r="I41" s="5"/>
      <c r="J41" s="5"/>
      <c r="K41" s="5"/>
    </row>
    <row r="42" customFormat="false" ht="13.45" hidden="false" customHeight="false" outlineLevel="0" collapsed="false">
      <c r="A42" s="2"/>
      <c r="B42" s="5" t="s">
        <v>362</v>
      </c>
      <c r="C42" s="5" t="s">
        <v>367</v>
      </c>
      <c r="D42" s="5"/>
      <c r="E42" s="5"/>
      <c r="F42" s="5"/>
      <c r="G42" s="5"/>
      <c r="H42" s="5"/>
      <c r="I42" s="5"/>
      <c r="J42" s="5"/>
      <c r="K42" s="5"/>
    </row>
    <row r="43" customFormat="false" ht="13.45" hidden="false" customHeight="false" outlineLevel="0" collapsed="false">
      <c r="A43" s="2"/>
      <c r="B43" s="5" t="s">
        <v>362</v>
      </c>
      <c r="C43" s="5" t="s">
        <v>173</v>
      </c>
      <c r="D43" s="2" t="s">
        <v>216</v>
      </c>
      <c r="E43" s="5"/>
      <c r="F43" s="5"/>
      <c r="G43" s="5"/>
      <c r="H43" s="5"/>
      <c r="I43" s="5"/>
      <c r="J43" s="5"/>
      <c r="K43" s="5"/>
    </row>
    <row r="44" customFormat="false" ht="13.45" hidden="false" customHeight="false" outlineLevel="0" collapsed="false">
      <c r="A44" s="2"/>
      <c r="B44" s="5" t="s">
        <v>230</v>
      </c>
      <c r="C44" s="5" t="s">
        <v>351</v>
      </c>
      <c r="D44" s="5" t="s">
        <v>368</v>
      </c>
      <c r="E44" s="5"/>
      <c r="F44" s="5"/>
      <c r="G44" s="5"/>
      <c r="H44" s="5"/>
      <c r="I44" s="5"/>
      <c r="J44" s="5"/>
      <c r="K44" s="5"/>
    </row>
    <row r="45" customFormat="false" ht="13.45" hidden="false" customHeight="false" outlineLevel="0" collapsed="false">
      <c r="A45" s="2"/>
      <c r="B45" s="5"/>
      <c r="C45" s="5" t="s">
        <v>369</v>
      </c>
      <c r="D45" s="5" t="s">
        <v>370</v>
      </c>
      <c r="E45" s="5" t="s">
        <v>371</v>
      </c>
      <c r="F45" s="5"/>
      <c r="G45" s="5"/>
      <c r="H45" s="5"/>
      <c r="I45" s="5"/>
      <c r="J45" s="5"/>
      <c r="K45" s="5"/>
    </row>
    <row r="46" customFormat="false" ht="13.45" hidden="false" customHeight="false" outlineLevel="0" collapsed="false">
      <c r="A46" s="2"/>
      <c r="B46" s="5"/>
      <c r="C46" s="5" t="s">
        <v>372</v>
      </c>
      <c r="D46" s="5" t="s">
        <v>373</v>
      </c>
      <c r="E46" s="5"/>
      <c r="F46" s="5"/>
      <c r="G46" s="5"/>
      <c r="H46" s="5"/>
      <c r="I46" s="5"/>
      <c r="J46" s="5"/>
      <c r="K46" s="5"/>
    </row>
    <row r="47" customFormat="false" ht="13.45" hidden="false" customHeight="false" outlineLevel="0" collapsed="false">
      <c r="A47" s="2"/>
      <c r="B47" s="5"/>
      <c r="C47" s="5"/>
      <c r="D47" s="5" t="s">
        <v>374</v>
      </c>
      <c r="E47" s="5"/>
      <c r="F47" s="5"/>
      <c r="G47" s="5"/>
      <c r="H47" s="5"/>
      <c r="I47" s="5"/>
      <c r="J47" s="5"/>
      <c r="K47" s="5"/>
    </row>
    <row r="48" customFormat="false" ht="13.45" hidden="false" customHeight="false" outlineLevel="0" collapsed="false">
      <c r="A48" s="2"/>
      <c r="B48" s="5"/>
      <c r="C48" s="5" t="s">
        <v>375</v>
      </c>
      <c r="D48" s="5"/>
      <c r="E48" s="5"/>
      <c r="F48" s="5"/>
      <c r="G48" s="5"/>
      <c r="H48" s="5"/>
      <c r="I48" s="5"/>
      <c r="J48" s="5"/>
      <c r="K48" s="5"/>
    </row>
    <row r="49" customFormat="false" ht="13.45" hidden="false" customHeight="false" outlineLevel="0" collapsed="false">
      <c r="A49" s="2"/>
      <c r="B49" s="5"/>
      <c r="C49" s="5" t="s">
        <v>372</v>
      </c>
      <c r="D49" s="5" t="s">
        <v>363</v>
      </c>
      <c r="E49" s="5"/>
      <c r="F49" s="5"/>
      <c r="G49" s="5"/>
      <c r="H49" s="5"/>
      <c r="I49" s="5"/>
      <c r="J49" s="5"/>
      <c r="K49" s="5"/>
    </row>
    <row r="50" customFormat="false" ht="13.45" hidden="false" customHeight="false" outlineLevel="0" collapsed="false">
      <c r="A50" s="2"/>
      <c r="B50" s="5"/>
      <c r="C50" s="5"/>
      <c r="D50" s="5" t="s">
        <v>376</v>
      </c>
      <c r="E50" s="5" t="s">
        <v>363</v>
      </c>
      <c r="F50" s="5" t="s">
        <v>373</v>
      </c>
      <c r="G50" s="5"/>
      <c r="H50" s="5"/>
      <c r="I50" s="5"/>
      <c r="J50" s="5"/>
      <c r="K50" s="5"/>
    </row>
    <row r="51" customFormat="false" ht="13.45" hidden="false" customHeight="false" outlineLevel="0" collapsed="false">
      <c r="A51" s="2"/>
      <c r="B51" s="5"/>
      <c r="C51" s="5"/>
      <c r="D51" s="5" t="s">
        <v>374</v>
      </c>
      <c r="E51" s="5"/>
      <c r="F51" s="5"/>
      <c r="G51" s="5"/>
      <c r="H51" s="5"/>
      <c r="I51" s="5"/>
      <c r="J51" s="5"/>
      <c r="K51" s="5"/>
    </row>
    <row r="52" customFormat="false" ht="13.45" hidden="false" customHeight="false" outlineLevel="0" collapsed="false">
      <c r="A52" s="2"/>
      <c r="B52" s="5"/>
      <c r="C52" s="5" t="s">
        <v>375</v>
      </c>
      <c r="D52" s="5"/>
      <c r="E52" s="5"/>
      <c r="F52" s="5"/>
      <c r="G52" s="5"/>
      <c r="H52" s="5"/>
      <c r="I52" s="5"/>
      <c r="J52" s="5"/>
      <c r="K52" s="5"/>
    </row>
    <row r="53" customFormat="false" ht="13.45" hidden="false" customHeight="false" outlineLevel="0" collapsed="false">
      <c r="A53" s="2"/>
      <c r="B53" s="5"/>
      <c r="C53" s="5" t="s">
        <v>372</v>
      </c>
      <c r="D53" s="5" t="s">
        <v>364</v>
      </c>
      <c r="E53" s="5"/>
      <c r="F53" s="5"/>
      <c r="G53" s="5"/>
      <c r="H53" s="5"/>
      <c r="I53" s="5"/>
      <c r="J53" s="5"/>
      <c r="K53" s="5"/>
    </row>
    <row r="54" customFormat="false" ht="13.45" hidden="false" customHeight="false" outlineLevel="0" collapsed="false">
      <c r="A54" s="2"/>
      <c r="B54" s="5"/>
      <c r="C54" s="5"/>
      <c r="D54" s="5" t="s">
        <v>376</v>
      </c>
      <c r="E54" s="5" t="s">
        <v>364</v>
      </c>
      <c r="F54" s="5" t="s">
        <v>373</v>
      </c>
      <c r="G54" s="5"/>
      <c r="H54" s="5"/>
      <c r="I54" s="5"/>
      <c r="J54" s="5"/>
      <c r="K54" s="5"/>
    </row>
    <row r="55" customFormat="false" ht="13.45" hidden="false" customHeight="false" outlineLevel="0" collapsed="false">
      <c r="A55" s="2"/>
      <c r="B55" s="5"/>
      <c r="C55" s="5"/>
      <c r="D55" s="5" t="s">
        <v>374</v>
      </c>
      <c r="E55" s="5"/>
      <c r="F55" s="5"/>
      <c r="G55" s="5"/>
      <c r="H55" s="5"/>
      <c r="I55" s="5"/>
      <c r="J55" s="5"/>
      <c r="K55" s="5"/>
    </row>
    <row r="56" customFormat="false" ht="13.45" hidden="false" customHeight="false" outlineLevel="0" collapsed="false">
      <c r="A56" s="2"/>
      <c r="B56" s="5"/>
      <c r="C56" s="5" t="s">
        <v>375</v>
      </c>
      <c r="D56" s="5"/>
      <c r="E56" s="5"/>
      <c r="F56" s="5"/>
      <c r="G56" s="5"/>
      <c r="H56" s="5"/>
      <c r="I56" s="5"/>
      <c r="J56" s="5"/>
      <c r="K56" s="5"/>
    </row>
    <row r="57" customFormat="false" ht="13.45" hidden="false" customHeight="false" outlineLevel="0" collapsed="false">
      <c r="A57" s="2"/>
      <c r="B57" s="5"/>
      <c r="C57" s="5" t="s">
        <v>372</v>
      </c>
      <c r="D57" s="5" t="s">
        <v>365</v>
      </c>
      <c r="E57" s="5"/>
      <c r="F57" s="5"/>
      <c r="G57" s="5"/>
      <c r="H57" s="5"/>
      <c r="I57" s="5"/>
      <c r="J57" s="5"/>
      <c r="K57" s="5"/>
    </row>
    <row r="58" customFormat="false" ht="13.45" hidden="false" customHeight="false" outlineLevel="0" collapsed="false">
      <c r="A58" s="2"/>
      <c r="B58" s="5"/>
      <c r="C58" s="5"/>
      <c r="D58" s="5" t="s">
        <v>376</v>
      </c>
      <c r="E58" s="5" t="s">
        <v>365</v>
      </c>
      <c r="F58" s="5" t="s">
        <v>373</v>
      </c>
      <c r="G58" s="5"/>
      <c r="H58" s="5"/>
      <c r="I58" s="5"/>
      <c r="J58" s="5"/>
      <c r="K58" s="5"/>
    </row>
    <row r="59" customFormat="false" ht="13.45" hidden="false" customHeight="false" outlineLevel="0" collapsed="false">
      <c r="A59" s="2"/>
      <c r="B59" s="5"/>
      <c r="C59" s="5"/>
      <c r="D59" s="5" t="s">
        <v>374</v>
      </c>
      <c r="E59" s="5"/>
      <c r="F59" s="5"/>
      <c r="G59" s="5"/>
      <c r="H59" s="5"/>
      <c r="I59" s="5"/>
      <c r="J59" s="5"/>
      <c r="K59" s="5"/>
    </row>
    <row r="60" customFormat="false" ht="13.45" hidden="false" customHeight="false" outlineLevel="0" collapsed="false">
      <c r="A60" s="2"/>
      <c r="B60" s="5"/>
      <c r="C60" s="5" t="s">
        <v>375</v>
      </c>
      <c r="D60" s="5"/>
      <c r="E60" s="5"/>
      <c r="F60" s="5"/>
      <c r="G60" s="5"/>
      <c r="H60" s="5"/>
      <c r="I60" s="5"/>
      <c r="J60" s="5"/>
      <c r="K60" s="5"/>
    </row>
    <row r="61" customFormat="false" ht="13.45" hidden="false" customHeight="false" outlineLevel="0" collapsed="false">
      <c r="A61" s="2"/>
      <c r="B61" s="5"/>
      <c r="C61" s="5" t="s">
        <v>372</v>
      </c>
      <c r="D61" s="5" t="s">
        <v>366</v>
      </c>
      <c r="E61" s="5"/>
      <c r="F61" s="5"/>
      <c r="G61" s="5"/>
      <c r="H61" s="5"/>
      <c r="I61" s="5"/>
      <c r="J61" s="5"/>
      <c r="K61" s="5"/>
    </row>
    <row r="62" customFormat="false" ht="13.45" hidden="false" customHeight="false" outlineLevel="0" collapsed="false">
      <c r="A62" s="2"/>
      <c r="B62" s="5"/>
      <c r="C62" s="5"/>
      <c r="D62" s="5" t="s">
        <v>376</v>
      </c>
      <c r="E62" s="5" t="s">
        <v>366</v>
      </c>
      <c r="F62" s="5" t="s">
        <v>373</v>
      </c>
      <c r="G62" s="5"/>
      <c r="H62" s="5"/>
      <c r="I62" s="5"/>
      <c r="J62" s="5"/>
      <c r="K62" s="5"/>
    </row>
    <row r="63" customFormat="false" ht="13.45" hidden="false" customHeight="false" outlineLevel="0" collapsed="false">
      <c r="A63" s="2"/>
      <c r="B63" s="5"/>
      <c r="C63" s="5"/>
      <c r="D63" s="5" t="s">
        <v>374</v>
      </c>
      <c r="E63" s="5"/>
      <c r="F63" s="5"/>
      <c r="G63" s="5"/>
      <c r="H63" s="5"/>
      <c r="I63" s="5"/>
      <c r="J63" s="5"/>
      <c r="K63" s="5"/>
    </row>
    <row r="64" customFormat="false" ht="13.45" hidden="false" customHeight="false" outlineLevel="0" collapsed="false">
      <c r="A64" s="2"/>
      <c r="B64" s="5"/>
      <c r="C64" s="5" t="s">
        <v>375</v>
      </c>
      <c r="D64" s="5"/>
      <c r="E64" s="5"/>
      <c r="F64" s="5"/>
      <c r="G64" s="5"/>
      <c r="H64" s="5"/>
      <c r="I64" s="5"/>
      <c r="J64" s="5"/>
      <c r="K64" s="5"/>
    </row>
    <row r="65" customFormat="false" ht="13.45" hidden="false" customHeight="false" outlineLevel="0" collapsed="false">
      <c r="A65" s="2"/>
      <c r="B65" s="5"/>
      <c r="C65" s="5" t="s">
        <v>377</v>
      </c>
      <c r="D65" s="5" t="s">
        <v>367</v>
      </c>
      <c r="E65" s="5" t="s">
        <v>352</v>
      </c>
      <c r="F65" s="5" t="s">
        <v>373</v>
      </c>
      <c r="G65" s="5"/>
      <c r="H65" s="5"/>
      <c r="I65" s="5"/>
      <c r="J65" s="5"/>
      <c r="K65" s="5"/>
    </row>
    <row r="66" customFormat="false" ht="13.45" hidden="false" customHeight="false" outlineLevel="0" collapsed="false">
      <c r="A66" s="2"/>
      <c r="B66" s="5"/>
      <c r="C66" s="5" t="s">
        <v>376</v>
      </c>
      <c r="D66" s="5" t="s">
        <v>173</v>
      </c>
      <c r="E66" s="5" t="s">
        <v>378</v>
      </c>
      <c r="F66" s="5"/>
      <c r="G66" s="5"/>
      <c r="H66" s="5"/>
      <c r="I66" s="5"/>
      <c r="J66" s="5"/>
      <c r="K66" s="5"/>
    </row>
    <row r="67" customFormat="false" ht="13.45" hidden="false" customHeight="false" outlineLevel="0" collapsed="false">
      <c r="A67" s="2"/>
      <c r="B67" s="5" t="s">
        <v>237</v>
      </c>
      <c r="C67" s="5"/>
      <c r="D67" s="5"/>
      <c r="E67" s="5"/>
      <c r="F67" s="5"/>
      <c r="G67" s="5"/>
      <c r="H67" s="5"/>
      <c r="I67" s="5"/>
      <c r="J67" s="5"/>
      <c r="K67" s="5"/>
    </row>
    <row r="68" customFormat="false" ht="13.45" hidden="false" customHeight="false" outlineLevel="0" collapsed="false">
      <c r="A68" s="2"/>
      <c r="B68" s="5" t="s">
        <v>379</v>
      </c>
      <c r="C68" s="5" t="s">
        <v>380</v>
      </c>
      <c r="D68" s="5"/>
      <c r="E68" s="5"/>
      <c r="F68" s="5"/>
      <c r="G68" s="5"/>
      <c r="H68" s="5"/>
      <c r="I68" s="5"/>
      <c r="J68" s="5"/>
      <c r="K68" s="5"/>
    </row>
    <row r="69" customFormat="false" ht="13.45" hidden="false" customHeight="false" outlineLevel="0" collapsed="false">
      <c r="A69" s="2"/>
      <c r="B69" s="5" t="s">
        <v>381</v>
      </c>
      <c r="C69" s="5" t="s">
        <v>365</v>
      </c>
      <c r="D69" s="5"/>
      <c r="E69" s="5"/>
      <c r="F69" s="5"/>
      <c r="G69" s="5"/>
      <c r="H69" s="5"/>
      <c r="I69" s="5"/>
      <c r="J69" s="5"/>
      <c r="K69" s="5"/>
    </row>
    <row r="70" customFormat="false" ht="13.45" hidden="false" customHeight="false" outlineLevel="0" collapsed="false">
      <c r="A70" s="2"/>
      <c r="B70" s="5"/>
      <c r="C70" s="5" t="s">
        <v>372</v>
      </c>
      <c r="D70" s="5" t="s">
        <v>364</v>
      </c>
      <c r="E70" s="5" t="s">
        <v>75</v>
      </c>
      <c r="F70" s="5"/>
      <c r="G70" s="5"/>
      <c r="H70" s="5"/>
      <c r="I70" s="5"/>
      <c r="J70" s="5"/>
      <c r="K70" s="5"/>
    </row>
    <row r="71" customFormat="false" ht="13.45" hidden="false" customHeight="false" outlineLevel="0" collapsed="false">
      <c r="A71" s="2"/>
      <c r="B71" s="5"/>
      <c r="C71" s="5"/>
      <c r="D71" s="5" t="s">
        <v>28</v>
      </c>
      <c r="E71" s="5" t="s">
        <v>380</v>
      </c>
      <c r="F71" s="5" t="s">
        <v>382</v>
      </c>
      <c r="G71" s="5" t="s">
        <v>383</v>
      </c>
      <c r="H71" s="5"/>
      <c r="I71" s="5"/>
      <c r="J71" s="5"/>
      <c r="K71" s="5"/>
    </row>
    <row r="72" customFormat="false" ht="13.45" hidden="false" customHeight="false" outlineLevel="0" collapsed="false">
      <c r="A72" s="2"/>
      <c r="B72" s="5"/>
      <c r="C72" s="5" t="s">
        <v>384</v>
      </c>
      <c r="D72" s="5"/>
      <c r="E72" s="5"/>
      <c r="F72" s="5"/>
      <c r="G72" s="5"/>
      <c r="H72" s="5"/>
      <c r="I72" s="5"/>
      <c r="J72" s="5"/>
      <c r="K72" s="5"/>
    </row>
    <row r="73" customFormat="false" ht="13.45" hidden="false" customHeight="false" outlineLevel="0" collapsed="false">
      <c r="A73" s="2"/>
      <c r="B73" s="5"/>
      <c r="C73" s="5"/>
      <c r="D73" s="5" t="s">
        <v>381</v>
      </c>
      <c r="E73" s="5" t="s">
        <v>366</v>
      </c>
      <c r="F73" s="5"/>
      <c r="G73" s="5"/>
      <c r="H73" s="5"/>
      <c r="I73" s="5"/>
      <c r="J73" s="5"/>
      <c r="K73" s="5"/>
    </row>
    <row r="74" customFormat="false" ht="13.45" hidden="false" customHeight="false" outlineLevel="0" collapsed="false">
      <c r="A74" s="2"/>
      <c r="B74" s="5"/>
      <c r="C74" s="5"/>
      <c r="D74" s="5"/>
      <c r="E74" s="5" t="s">
        <v>385</v>
      </c>
      <c r="F74" s="5" t="s">
        <v>380</v>
      </c>
      <c r="G74" s="5" t="s">
        <v>382</v>
      </c>
      <c r="H74" s="5" t="s">
        <v>383</v>
      </c>
      <c r="I74" s="5"/>
      <c r="J74" s="5"/>
      <c r="K74" s="5"/>
    </row>
    <row r="75" customFormat="false" ht="13.45" hidden="false" customHeight="false" outlineLevel="0" collapsed="false">
      <c r="A75" s="2"/>
      <c r="B75" s="5"/>
      <c r="C75" s="5"/>
      <c r="D75" s="5" t="s">
        <v>375</v>
      </c>
      <c r="E75" s="5"/>
      <c r="F75" s="5"/>
      <c r="G75" s="5"/>
      <c r="H75" s="5"/>
      <c r="I75" s="5"/>
      <c r="J75" s="5"/>
      <c r="K75" s="5"/>
    </row>
    <row r="76" customFormat="false" ht="13.45" hidden="false" customHeight="false" outlineLevel="0" collapsed="false">
      <c r="A76" s="2"/>
      <c r="B76" s="5"/>
      <c r="C76" s="5" t="s">
        <v>375</v>
      </c>
      <c r="D76" s="5"/>
      <c r="E76" s="5"/>
      <c r="F76" s="5"/>
      <c r="G76" s="5"/>
      <c r="H76" s="5"/>
      <c r="I76" s="5"/>
      <c r="J76" s="5"/>
      <c r="K76" s="5"/>
    </row>
    <row r="77" customFormat="false" ht="13.45" hidden="false" customHeight="false" outlineLevel="0" collapsed="false">
      <c r="A77" s="2"/>
      <c r="B77" s="5" t="s">
        <v>375</v>
      </c>
      <c r="C77" s="5"/>
      <c r="D77" s="5"/>
      <c r="E77" s="5"/>
      <c r="F77" s="5"/>
      <c r="G77" s="5"/>
      <c r="H77" s="5"/>
      <c r="I77" s="5"/>
      <c r="J77" s="5"/>
      <c r="K77" s="5"/>
    </row>
    <row r="78" customFormat="false" ht="13.45" hidden="false" customHeight="false" outlineLevel="0" collapsed="false">
      <c r="A78" s="2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customFormat="false" ht="13.45" hidden="false" customHeight="false" outlineLevel="0" collapsed="false">
      <c r="A79" s="2"/>
      <c r="B79" s="91" t="s">
        <v>72</v>
      </c>
      <c r="C79" s="92" t="s">
        <v>386</v>
      </c>
      <c r="D79" s="92"/>
      <c r="E79" s="92"/>
      <c r="F79" s="92"/>
      <c r="G79" s="92"/>
      <c r="H79" s="93"/>
      <c r="I79" s="5"/>
      <c r="J79" s="5"/>
      <c r="K79" s="5"/>
    </row>
    <row r="80" customFormat="false" ht="13.45" hidden="false" customHeight="false" outlineLevel="0" collapsed="false">
      <c r="A80" s="2"/>
      <c r="B80" s="5" t="s">
        <v>328</v>
      </c>
      <c r="C80" s="5" t="s">
        <v>339</v>
      </c>
      <c r="D80" s="5"/>
      <c r="E80" s="5"/>
      <c r="F80" s="5"/>
      <c r="G80" s="5"/>
      <c r="H80" s="5"/>
      <c r="I80" s="5"/>
      <c r="J80" s="5"/>
      <c r="K80" s="5"/>
    </row>
    <row r="81" customFormat="false" ht="13.45" hidden="false" customHeight="false" outlineLevel="0" collapsed="false">
      <c r="A81" s="2"/>
      <c r="B81" s="5" t="s">
        <v>387</v>
      </c>
      <c r="C81" s="5" t="s">
        <v>388</v>
      </c>
      <c r="D81" s="5" t="s">
        <v>389</v>
      </c>
      <c r="E81" s="5" t="s">
        <v>390</v>
      </c>
      <c r="F81" s="5" t="s">
        <v>391</v>
      </c>
      <c r="I81" s="5"/>
      <c r="J81" s="5"/>
      <c r="K81" s="5"/>
    </row>
    <row r="82" customFormat="false" ht="13.45" hidden="false" customHeight="false" outlineLevel="0" collapsed="false">
      <c r="A82" s="2"/>
      <c r="B82" s="2" t="s">
        <v>392</v>
      </c>
      <c r="C82" s="2" t="s">
        <v>393</v>
      </c>
      <c r="D82" s="2"/>
      <c r="E82" s="2"/>
      <c r="F82" s="2"/>
      <c r="G82" s="2"/>
      <c r="H82" s="2"/>
      <c r="I82" s="2"/>
      <c r="J82" s="2"/>
      <c r="K82" s="2"/>
    </row>
    <row r="83" customFormat="false" ht="13.45" hidden="false" customHeight="false" outlineLevel="0" collapsed="false">
      <c r="A83" s="2"/>
      <c r="B83" s="2" t="s">
        <v>392</v>
      </c>
      <c r="C83" s="2" t="s">
        <v>394</v>
      </c>
      <c r="D83" s="2"/>
      <c r="E83" s="2"/>
      <c r="F83" s="2"/>
      <c r="G83" s="2"/>
      <c r="H83" s="2"/>
      <c r="I83" s="2"/>
      <c r="J83" s="2"/>
      <c r="K83" s="2"/>
    </row>
    <row r="84" customFormat="false" ht="13.45" hidden="false" customHeight="false" outlineLevel="0" collapsed="false">
      <c r="A84" s="2"/>
      <c r="B84" s="2" t="s">
        <v>392</v>
      </c>
      <c r="C84" s="2" t="s">
        <v>395</v>
      </c>
      <c r="D84" s="2"/>
      <c r="E84" s="2"/>
      <c r="F84" s="2"/>
      <c r="G84" s="2"/>
      <c r="H84" s="2"/>
      <c r="I84" s="2"/>
      <c r="J84" s="2"/>
      <c r="K84" s="2"/>
    </row>
    <row r="85" customFormat="false" ht="13.45" hidden="false" customHeight="false" outlineLevel="0" collapsed="false">
      <c r="A85" s="2"/>
      <c r="B85" s="2" t="s">
        <v>392</v>
      </c>
      <c r="C85" s="2" t="s">
        <v>396</v>
      </c>
      <c r="D85" s="2"/>
      <c r="E85" s="2"/>
      <c r="F85" s="2"/>
      <c r="G85" s="2"/>
      <c r="H85" s="2"/>
      <c r="I85" s="2"/>
      <c r="J85" s="2"/>
      <c r="K85" s="2"/>
    </row>
    <row r="86" customFormat="false" ht="13.45" hidden="false" customHeight="false" outlineLevel="0" collapsed="false">
      <c r="A86" s="2"/>
      <c r="B86" s="2" t="s">
        <v>392</v>
      </c>
      <c r="C86" s="2" t="s">
        <v>397</v>
      </c>
      <c r="D86" s="2"/>
      <c r="E86" s="2"/>
      <c r="F86" s="2"/>
      <c r="G86" s="2"/>
      <c r="H86" s="2"/>
      <c r="I86" s="2"/>
      <c r="J86" s="2"/>
      <c r="K86" s="2"/>
    </row>
    <row r="87" customFormat="false" ht="13.45" hidden="false" customHeight="false" outlineLevel="0" collapsed="false">
      <c r="A87" s="2"/>
      <c r="B87" s="2" t="s">
        <v>392</v>
      </c>
      <c r="C87" s="2" t="s">
        <v>398</v>
      </c>
      <c r="D87" s="2"/>
      <c r="E87" s="2"/>
      <c r="F87" s="2"/>
      <c r="G87" s="2"/>
      <c r="H87" s="2"/>
      <c r="I87" s="2"/>
      <c r="J87" s="2"/>
      <c r="K87" s="2"/>
    </row>
    <row r="88" customFormat="false" ht="13.45" hidden="false" customHeight="false" outlineLevel="0" collapsed="false">
      <c r="A88" s="2"/>
      <c r="B88" s="2" t="s">
        <v>392</v>
      </c>
      <c r="C88" s="2" t="s">
        <v>393</v>
      </c>
      <c r="D88" s="2"/>
      <c r="E88" s="2"/>
      <c r="F88" s="2"/>
      <c r="G88" s="2"/>
      <c r="H88" s="2"/>
      <c r="I88" s="2"/>
      <c r="J88" s="2"/>
      <c r="K88" s="2"/>
    </row>
    <row r="89" customFormat="false" ht="13.4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1997-01-09T07:48:59Z</dcterms:created>
  <dc:creator/>
  <dc:description/>
  <dc:language>ja-JP</dc:language>
  <cp:lastModifiedBy/>
  <dcterms:modified xsi:type="dcterms:W3CDTF">2026-09-16T23:37:18Z</dcterms:modified>
  <cp:revision>8</cp:revision>
  <dc:subject/>
  <dc:title/>
</cp:coreProperties>
</file>