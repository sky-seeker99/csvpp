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cmd" sheetId="1" state="visible" r:id="rId3"/>
    <sheet name="top" sheetId="2" state="visible" r:id="rId4"/>
    <sheet name="parts" sheetId="3" state="visible" r:id="rId5"/>
    <sheet name="csvveri_C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<sst xmlns="http://schemas.openxmlformats.org/spreadsheetml/2006/main" count="444" uniqueCount="136">
  <si>
    <t xml:space="preserve">//</t>
  </si>
  <si>
    <t xml:space="preserve">トップシート</t>
  </si>
  <si>
    <t xml:space="preserve">%include</t>
  </si>
  <si>
    <t xml:space="preserve">csvveri_C.csv</t>
  </si>
  <si>
    <t xml:space="preserve">%classcall</t>
  </si>
  <si>
    <t xml:space="preserve">csvveri_C</t>
  </si>
  <si>
    <t xml:space="preserve">csvveri</t>
  </si>
  <si>
    <t xml:space="preserve">%exec</t>
  </si>
  <si>
    <t xml:space="preserve">del c:\csv\*.v</t>
  </si>
  <si>
    <t xml:space="preserve">%shell</t>
  </si>
  <si>
    <r>
      <rPr>
        <sz val="9"/>
        <rFont val="Meiryo UI"/>
        <family val="3"/>
        <charset val="1"/>
      </rPr>
      <t xml:space="preserve">csv</t>
    </r>
    <r>
      <rPr>
        <sz val="11"/>
        <rFont val="ＭＳ Ｐゴシック"/>
        <family val="3"/>
      </rPr>
      <t xml:space="preserve">veri</t>
    </r>
  </si>
  <si>
    <r>
      <rPr>
        <sz val="9"/>
        <rFont val="Meiryo UI"/>
        <family val="3"/>
        <charset val="1"/>
      </rPr>
      <t xml:space="preserve">/</t>
    </r>
    <r>
      <rPr>
        <sz val="11"/>
        <rFont val="ＭＳ Ｐゴシック"/>
        <family val="3"/>
      </rPr>
      <t xml:space="preserve">/</t>
    </r>
  </si>
  <si>
    <r>
      <rPr>
        <sz val="9"/>
        <rFont val="Meiryo UI"/>
        <family val="3"/>
        <charset val="1"/>
      </rPr>
      <t xml:space="preserve">t</t>
    </r>
    <r>
      <rPr>
        <sz val="11"/>
        <rFont val="ＭＳ Ｐゴシック"/>
        <family val="3"/>
      </rPr>
      <t xml:space="preserve">op</t>
    </r>
  </si>
  <si>
    <t xml:space="preserve">c:\csv</t>
  </si>
  <si>
    <t xml:space="preserve">top.csv</t>
  </si>
  <si>
    <t xml:space="preserve">#module</t>
  </si>
  <si>
    <t xml:space="preserve">top</t>
  </si>
  <si>
    <t xml:space="preserve">parts.csv</t>
  </si>
  <si>
    <t xml:space="preserve">名前</t>
  </si>
  <si>
    <t xml:space="preserve">入出力</t>
  </si>
  <si>
    <t xml:space="preserve">本数</t>
  </si>
  <si>
    <t xml:space="preserve">上位</t>
  </si>
  <si>
    <t xml:space="preserve">下位</t>
  </si>
  <si>
    <t xml:space="preserve">書式</t>
  </si>
  <si>
    <t xml:space="preserve">ドライバ</t>
  </si>
  <si>
    <t xml:space="preserve">ＩＯ制御</t>
  </si>
  <si>
    <t xml:space="preserve">内部の信号名入力側</t>
  </si>
  <si>
    <t xml:space="preserve">内部の信号名出力側</t>
  </si>
  <si>
    <r>
      <rPr>
        <sz val="9"/>
        <rFont val="Meiryo UI"/>
        <family val="3"/>
        <charset val="1"/>
      </rPr>
      <t xml:space="preserve">%port</t>
    </r>
    <r>
      <rPr>
        <sz val="11"/>
        <rFont val="ＭＳ Ｐゴシック"/>
        <family val="3"/>
      </rPr>
      <t xml:space="preserve">_top</t>
    </r>
  </si>
  <si>
    <t xml:space="preserve">clk</t>
  </si>
  <si>
    <r>
      <rPr>
        <sz val="9"/>
        <rFont val="Meiryo UI"/>
        <family val="3"/>
        <charset val="1"/>
      </rPr>
      <t xml:space="preserve">i</t>
    </r>
    <r>
      <rPr>
        <sz val="11"/>
        <rFont val="ＭＳ Ｐゴシック"/>
        <family val="3"/>
      </rPr>
      <t xml:space="preserve">n</t>
    </r>
  </si>
  <si>
    <t xml:space="preserve">inn</t>
  </si>
  <si>
    <r>
      <rPr>
        <sz val="9"/>
        <rFont val="Meiryo UI"/>
        <family val="3"/>
        <charset val="1"/>
      </rPr>
      <t xml:space="preserve">r</t>
    </r>
    <r>
      <rPr>
        <sz val="11"/>
        <rFont val="ＭＳ Ｐゴシック"/>
        <family val="3"/>
      </rPr>
      <t xml:space="preserve">eset_n</t>
    </r>
  </si>
  <si>
    <t xml:space="preserve">1</t>
  </si>
  <si>
    <t xml:space="preserve">cs</t>
  </si>
  <si>
    <t xml:space="preserve">size</t>
  </si>
  <si>
    <t xml:space="preserve">4</t>
  </si>
  <si>
    <t xml:space="preserve">addr</t>
  </si>
  <si>
    <r>
      <rPr>
        <sz val="9"/>
        <rFont val="Meiryo UI"/>
        <family val="3"/>
        <charset val="1"/>
      </rPr>
      <t xml:space="preserve">o</t>
    </r>
    <r>
      <rPr>
        <sz val="11"/>
        <rFont val="ＭＳ Ｐゴシック"/>
        <family val="3"/>
      </rPr>
      <t xml:space="preserve">ut</t>
    </r>
  </si>
  <si>
    <r>
      <rPr>
        <sz val="9"/>
        <rFont val="Meiryo UI"/>
        <family val="3"/>
        <charset val="1"/>
      </rPr>
      <t xml:space="preserve">1</t>
    </r>
    <r>
      <rPr>
        <sz val="11"/>
        <rFont val="ＭＳ Ｐゴシック"/>
        <family val="3"/>
      </rPr>
      <t xml:space="preserve">6</t>
    </r>
  </si>
  <si>
    <r>
      <rPr>
        <sz val="9"/>
        <rFont val="Meiryo UI"/>
        <family val="3"/>
        <charset val="1"/>
      </rPr>
      <t xml:space="preserve">o</t>
    </r>
    <r>
      <rPr>
        <sz val="11"/>
        <rFont val="ＭＳ Ｐゴシック"/>
        <family val="3"/>
      </rPr>
      <t xml:space="preserve">u2</t>
    </r>
  </si>
  <si>
    <r>
      <rPr>
        <sz val="9"/>
        <rFont val="Meiryo UI"/>
        <family val="3"/>
        <charset val="1"/>
      </rPr>
      <t xml:space="preserve">addr_</t>
    </r>
    <r>
      <rPr>
        <sz val="11"/>
        <rFont val="ＭＳ Ｐゴシック"/>
        <family val="3"/>
      </rPr>
      <t xml:space="preserve">en</t>
    </r>
  </si>
  <si>
    <r>
      <rPr>
        <sz val="9"/>
        <rFont val="Meiryo UI"/>
        <family val="3"/>
        <charset val="1"/>
      </rPr>
      <t xml:space="preserve">i</t>
    </r>
    <r>
      <rPr>
        <sz val="11"/>
        <rFont val="ＭＳ Ｐゴシック"/>
        <family val="3"/>
      </rPr>
      <t xml:space="preserve">o</t>
    </r>
  </si>
  <si>
    <t xml:space="preserve">8</t>
  </si>
  <si>
    <t xml:space="preserve">ioo</t>
  </si>
  <si>
    <t xml:space="preserve">addr_io</t>
  </si>
  <si>
    <t xml:space="preserve">data</t>
  </si>
  <si>
    <r>
      <rPr>
        <sz val="9"/>
        <rFont val="Meiryo UI"/>
        <family val="3"/>
        <charset val="1"/>
      </rPr>
      <t xml:space="preserve">%</t>
    </r>
    <r>
      <rPr>
        <sz val="11"/>
        <rFont val="ＭＳ Ｐゴシック"/>
        <family val="3"/>
      </rPr>
      <t xml:space="preserve">%02d</t>
    </r>
  </si>
  <si>
    <t xml:space="preserve">data_io</t>
  </si>
  <si>
    <t xml:space="preserve">ack</t>
  </si>
  <si>
    <t xml:space="preserve">ou</t>
  </si>
  <si>
    <t xml:space="preserve">出力</t>
  </si>
  <si>
    <t xml:space="preserve">入力</t>
  </si>
  <si>
    <t xml:space="preserve">ゲート制御</t>
  </si>
  <si>
    <t xml:space="preserve">#gate</t>
  </si>
  <si>
    <t xml:space="preserve">o</t>
  </si>
  <si>
    <t xml:space="preserve">#</t>
  </si>
  <si>
    <t xml:space="preserve">i_port</t>
  </si>
  <si>
    <t xml:space="preserve">ou2</t>
  </si>
  <si>
    <t xml:space="preserve">o_port</t>
  </si>
  <si>
    <t xml:space="preserve">i</t>
  </si>
  <si>
    <t xml:space="preserve">gate</t>
  </si>
  <si>
    <t xml:space="preserve">io_port</t>
  </si>
  <si>
    <t xml:space="preserve">%class</t>
  </si>
  <si>
    <t xml:space="preserve">%st</t>
  </si>
  <si>
    <t xml:space="preserve">別名定義</t>
  </si>
  <si>
    <t xml:space="preserve">%alias</t>
  </si>
  <si>
    <t xml:space="preserve">%%port_top</t>
  </si>
  <si>
    <t xml:space="preserve">%%do</t>
  </si>
  <si>
    <t xml:space="preserve">port_top</t>
  </si>
  <si>
    <t xml:space="preserve">%%wire</t>
  </si>
  <si>
    <t xml:space="preserve">#wire</t>
  </si>
  <si>
    <t xml:space="preserve">%%net</t>
  </si>
  <si>
    <t xml:space="preserve">#net</t>
  </si>
  <si>
    <t xml:space="preserve">~csvveri_C</t>
  </si>
  <si>
    <t xml:space="preserve">ポート宣言（トップ用）</t>
  </si>
  <si>
    <t xml:space="preserve">%argdeffix</t>
  </si>
  <si>
    <t xml:space="preserve">name</t>
  </si>
  <si>
    <t xml:space="preserve">io</t>
  </si>
  <si>
    <t xml:space="preserve">up</t>
  </si>
  <si>
    <t xml:space="preserve">dn</t>
  </si>
  <si>
    <t xml:space="preserve">frm</t>
  </si>
  <si>
    <t xml:space="preserve">drv</t>
  </si>
  <si>
    <t xml:space="preserve">io_con</t>
  </si>
  <si>
    <t xml:space="preserve">ri_name</t>
  </si>
  <si>
    <t xml:space="preserve">ro_name</t>
  </si>
  <si>
    <t xml:space="preserve">デフォルト設定</t>
  </si>
  <si>
    <t xml:space="preserve">%if</t>
  </si>
  <si>
    <t xml:space="preserve">%set</t>
  </si>
  <si>
    <t xml:space="preserve">%endif</t>
  </si>
  <si>
    <t xml:space="preserve">$#size-1$</t>
  </si>
  <si>
    <t xml:space="preserve">%%d</t>
  </si>
  <si>
    <t xml:space="preserve">input</t>
  </si>
  <si>
    <t xml:space="preserve">in</t>
  </si>
  <si>
    <t xml:space="preserve">output</t>
  </si>
  <si>
    <t xml:space="preserve">out</t>
  </si>
  <si>
    <t xml:space="preserve">inout</t>
  </si>
  <si>
    <t xml:space="preserve">wire宣言</t>
  </si>
  <si>
    <t xml:space="preserve">%varlist</t>
  </si>
  <si>
    <t xml:space="preserve">w</t>
  </si>
  <si>
    <t xml:space="preserve">c</t>
  </si>
  <si>
    <t xml:space="preserve">cc</t>
  </si>
  <si>
    <t xml:space="preserve">p</t>
  </si>
  <si>
    <t xml:space="preserve">cntup</t>
  </si>
  <si>
    <t xml:space="preserve">%wire</t>
  </si>
  <si>
    <t xml:space="preserve">$ri_name$</t>
  </si>
  <si>
    <t xml:space="preserve">$size$</t>
  </si>
  <si>
    <t xml:space="preserve">#input</t>
  </si>
  <si>
    <t xml:space="preserve">$ro_name$</t>
  </si>
  <si>
    <t xml:space="preserve">#output</t>
  </si>
  <si>
    <t xml:space="preserve">#inout</t>
  </si>
  <si>
    <t xml:space="preserve">$name$</t>
  </si>
  <si>
    <t xml:space="preserve">$p$</t>
  </si>
  <si>
    <t xml:space="preserve">%else</t>
  </si>
  <si>
    <t xml:space="preserve">%calcif</t>
  </si>
  <si>
    <t xml:space="preserve">up &lt; dn</t>
  </si>
  <si>
    <t xml:space="preserve">$up$</t>
  </si>
  <si>
    <t xml:space="preserve">$dn$</t>
  </si>
  <si>
    <t xml:space="preserve">x</t>
  </si>
  <si>
    <t xml:space="preserve">%for</t>
  </si>
  <si>
    <t xml:space="preserve">%calcfrm</t>
  </si>
  <si>
    <t xml:space="preserve">$frm$</t>
  </si>
  <si>
    <t xml:space="preserve">i+c</t>
  </si>
  <si>
    <t xml:space="preserve">$name$$w$</t>
  </si>
  <si>
    <t xml:space="preserve">%endfor</t>
  </si>
  <si>
    <t xml:space="preserve">driver</t>
  </si>
  <si>
    <t xml:space="preserve">%net</t>
  </si>
  <si>
    <t xml:space="preserve">$drv$</t>
  </si>
  <si>
    <t xml:space="preserve">error??</t>
  </si>
  <si>
    <t xml:space="preserve">$io_con$</t>
  </si>
  <si>
    <t xml:space="preserve">%return</t>
  </si>
  <si>
    <t xml:space="preserve">name=$name$ io_con = $io_con$</t>
  </si>
  <si>
    <t xml:space="preserve">c+i</t>
  </si>
  <si>
    <t xml:space="preserve">cc-i</t>
  </si>
  <si>
    <t xml:space="preserve">$ri_name$[$i$]</t>
  </si>
  <si>
    <t xml:space="preserve">$ro_name$[$i$]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</si>
</sst>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1"/>
      <name val="ＭＳ Ｐゴシック"/>
      <family val="3"/>
      <charset val="12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ＭＳ Ｐ明朝"/>
      <family val="1"/>
      <charset val="128"/>
    </font>
    <font>
      <sz val="9"/>
      <name val="Meiryo UI"/>
      <family val="3"/>
      <charset val="1"/>
    </font>
    <font>
      <sz val="11"/>
      <name val="ＭＳ Ｐゴシック"/>
      <family val="3"/>
    </font>
    <font>
      <sz val="9"/>
      <color rgb="FF0000FF"/>
      <name val="Meiryo UI"/>
      <family val="3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CC99"/>
        <bgColor rgb="FFC0C0C0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3" borderId="9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標準_doc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file:///c:/csv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6" activeCellId="0" sqref="C16"/>
    </sheetView>
  </sheetViews>
  <sheetFormatPr defaultColWidth="8.95703125" defaultRowHeight="13.45" customHeight="false" zeroHeight="false" outlineLevelRow="0" outlineLevelCol="0"/>
  <cols>
    <col collapsed="false" customWidth="true" hidden="false" outlineLevel="0" max="1" min="1" style="1" width="2.75"/>
    <col collapsed="false" customWidth="false" hidden="false" outlineLevel="0" max="2" min="2" style="1" width="8.95"/>
    <col collapsed="false" customWidth="true" hidden="false" outlineLevel="0" max="3" min="3" style="1" width="15.98"/>
    <col collapsed="false" customWidth="true" hidden="false" outlineLevel="0" max="4" min="4" style="1" width="18.11"/>
    <col collapsed="false" customWidth="true" hidden="false" outlineLevel="0" max="5" min="5" style="1" width="29.83"/>
    <col collapsed="false" customWidth="true" hidden="false" outlineLevel="0" max="6" min="6" style="1" width="3.48"/>
    <col collapsed="false" customWidth="true" hidden="false" outlineLevel="0" max="7" min="7" style="1" width="6.11"/>
    <col collapsed="false" customWidth="true" hidden="false" outlineLevel="0" max="8" min="8" style="1" width="25.48"/>
    <col collapsed="false" customWidth="false" hidden="false" outlineLevel="0" max="257" min="9" style="1" width="8.95"/>
  </cols>
  <sheetData>
    <row r="1" customFormat="false" ht="13.45" hidden="false" customHeight="false" outlineLevel="0" collapsed="false">
      <c r="B1" s="2" t="s">
        <v>0</v>
      </c>
      <c r="C1" s="3"/>
      <c r="D1" s="3"/>
      <c r="E1" s="3"/>
      <c r="F1" s="3"/>
      <c r="G1" s="3"/>
      <c r="H1" s="4"/>
    </row>
    <row r="2" customFormat="false" ht="13.45" hidden="false" customHeight="false" outlineLevel="0" collapsed="false">
      <c r="B2" s="5" t="s">
        <v>0</v>
      </c>
      <c r="C2" s="6" t="s">
        <v>1</v>
      </c>
      <c r="D2" s="6"/>
      <c r="E2" s="6"/>
      <c r="F2" s="6"/>
      <c r="G2" s="6"/>
      <c r="H2" s="7"/>
    </row>
    <row r="3" customFormat="false" ht="13.45" hidden="false" customHeight="false" outlineLevel="0" collapsed="false">
      <c r="B3" s="8" t="s">
        <v>0</v>
      </c>
      <c r="C3" s="9"/>
      <c r="D3" s="9"/>
      <c r="E3" s="9"/>
      <c r="F3" s="9"/>
      <c r="G3" s="9"/>
      <c r="H3" s="10"/>
    </row>
    <row r="5" customFormat="false" ht="13.45" hidden="false" customHeight="false" outlineLevel="0" collapsed="false">
      <c r="A5" s="11"/>
      <c r="B5" s="11" t="s">
        <v>2</v>
      </c>
      <c r="C5" s="11" t="s">
        <v>3</v>
      </c>
      <c r="D5" s="11"/>
      <c r="F5" s="12"/>
      <c r="H5" s="13"/>
    </row>
    <row r="6" customFormat="false" ht="13.45" hidden="false" customHeight="false" outlineLevel="0" collapsed="false">
      <c r="A6" s="11"/>
      <c r="B6" s="11" t="s">
        <v>4</v>
      </c>
      <c r="C6" s="11" t="s">
        <v>5</v>
      </c>
      <c r="D6" s="11" t="s">
        <v>6</v>
      </c>
      <c r="F6" s="11"/>
      <c r="H6" s="11"/>
    </row>
    <row r="7" customFormat="false" ht="13.45" hidden="false" customHeight="false" outlineLevel="0" collapsed="false">
      <c r="A7" s="11"/>
    </row>
    <row r="8" customFormat="false" ht="13.45" hidden="false" customHeight="false" outlineLevel="0" collapsed="false">
      <c r="A8" s="14"/>
      <c r="B8" s="1" t="s">
        <v>7</v>
      </c>
      <c r="C8" s="1" t="s">
        <v>8</v>
      </c>
      <c r="I8" s="14"/>
      <c r="J8" s="14"/>
      <c r="K8" s="14"/>
    </row>
    <row r="9" customFormat="false" ht="13.45" hidden="false" customHeight="false" outlineLevel="0" collapsed="false">
      <c r="A9" s="14"/>
      <c r="I9" s="14"/>
      <c r="J9" s="14"/>
      <c r="K9" s="14"/>
    </row>
    <row r="10" customFormat="false" ht="14.9" hidden="false" customHeight="false" outlineLevel="0" collapsed="false">
      <c r="B10" s="15" t="s">
        <v>9</v>
      </c>
      <c r="C10" s="15" t="s">
        <v>10</v>
      </c>
      <c r="D10" s="15" t="str">
        <f aca="false">CONCATENATE("#",H10,"\",G10,".csv")</f>
        <v>#c:\csv\top.csv</v>
      </c>
      <c r="E10" s="15" t="str">
        <f aca="false">CONCATENATE(H10,"\",G10,".v")</f>
        <v>c:\csv\top.v</v>
      </c>
      <c r="F10" s="15" t="s">
        <v>11</v>
      </c>
      <c r="G10" s="16" t="s">
        <v>12</v>
      </c>
      <c r="H10" s="17" t="s">
        <v>13</v>
      </c>
    </row>
    <row r="11" customFormat="false" ht="13.45" hidden="false" customHeight="false" outlineLevel="0" collapsed="false">
      <c r="B11" s="11" t="s">
        <v>2</v>
      </c>
      <c r="C11" s="1" t="s">
        <v>14</v>
      </c>
    </row>
    <row r="13" customFormat="false" ht="13.45" hidden="false" customHeight="false" outlineLevel="0" collapsed="false">
      <c r="B13" s="15" t="s">
        <v>9</v>
      </c>
      <c r="C13" s="15"/>
      <c r="D13" s="15"/>
      <c r="E13" s="15"/>
      <c r="F13" s="15"/>
      <c r="G13" s="15"/>
      <c r="H13" s="15"/>
      <c r="I13" s="15"/>
    </row>
    <row r="14" customFormat="false" ht="13.45" hidden="false" customHeight="false" outlineLevel="0" collapsed="false">
      <c r="F14" s="15"/>
      <c r="G14" s="14"/>
      <c r="H14" s="14"/>
    </row>
  </sheetData>
  <hyperlinks>
    <hyperlink ref="H10" r:id="rId1" display="c:\csv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L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2" activeCellId="0" sqref="F22"/>
    </sheetView>
  </sheetViews>
  <sheetFormatPr defaultColWidth="8.95703125" defaultRowHeight="13.45" customHeight="false" zeroHeight="false" outlineLevelRow="0" outlineLevelCol="0"/>
  <cols>
    <col collapsed="false" customWidth="true" hidden="false" outlineLevel="0" max="1" min="1" style="1" width="2.48"/>
    <col collapsed="false" customWidth="false" hidden="false" outlineLevel="0" max="2" min="2" style="1" width="8.95"/>
    <col collapsed="false" customWidth="true" hidden="false" outlineLevel="0" max="3" min="3" style="1" width="8.11"/>
    <col collapsed="false" customWidth="true" hidden="false" outlineLevel="0" max="4" min="4" style="1" width="7.48"/>
    <col collapsed="false" customWidth="true" hidden="false" outlineLevel="0" max="7" min="5" style="1" width="5.61"/>
    <col collapsed="false" customWidth="true" hidden="false" outlineLevel="0" max="8" min="8" style="1" width="5.75"/>
    <col collapsed="false" customWidth="true" hidden="false" outlineLevel="0" max="9" min="9" style="1" width="7.61"/>
    <col collapsed="false" customWidth="false" hidden="false" outlineLevel="0" max="10" min="10" style="1" width="8.95"/>
    <col collapsed="false" customWidth="true" hidden="false" outlineLevel="0" max="12" min="11" style="1" width="20.48"/>
    <col collapsed="false" customWidth="false" hidden="false" outlineLevel="0" max="257" min="13" style="1" width="8.95"/>
  </cols>
  <sheetData>
    <row r="2" customFormat="false" ht="13.45" hidden="false" customHeight="false" outlineLevel="0" collapsed="false">
      <c r="B2" s="11" t="s">
        <v>15</v>
      </c>
      <c r="C2" s="11" t="s">
        <v>16</v>
      </c>
    </row>
    <row r="4" customFormat="false" ht="13.45" hidden="false" customHeight="false" outlineLevel="0" collapsed="false">
      <c r="B4" s="1" t="s">
        <v>2</v>
      </c>
      <c r="C4" s="1" t="s">
        <v>17</v>
      </c>
    </row>
    <row r="6" customFormat="false" ht="14.9" hidden="false" customHeight="false" outlineLevel="0" collapsed="false">
      <c r="B6" s="18" t="s">
        <v>0</v>
      </c>
      <c r="C6" s="18" t="s">
        <v>18</v>
      </c>
      <c r="D6" s="18" t="s">
        <v>19</v>
      </c>
      <c r="E6" s="18" t="s">
        <v>20</v>
      </c>
      <c r="F6" s="18" t="s">
        <v>21</v>
      </c>
      <c r="G6" s="18" t="s">
        <v>22</v>
      </c>
      <c r="H6" s="18" t="s">
        <v>23</v>
      </c>
      <c r="I6" s="18" t="s">
        <v>24</v>
      </c>
      <c r="J6" s="18" t="s">
        <v>25</v>
      </c>
      <c r="K6" s="19" t="s">
        <v>26</v>
      </c>
      <c r="L6" s="19" t="s">
        <v>27</v>
      </c>
    </row>
    <row r="7" customFormat="false" ht="14.9" hidden="false" customHeight="false" outlineLevel="0" collapsed="false">
      <c r="A7" s="14"/>
      <c r="B7" s="20" t="s">
        <v>28</v>
      </c>
      <c r="C7" s="20" t="s">
        <v>29</v>
      </c>
      <c r="D7" s="20" t="s">
        <v>30</v>
      </c>
      <c r="E7" s="21" t="n">
        <v>1</v>
      </c>
      <c r="F7" s="20"/>
      <c r="G7" s="20"/>
      <c r="H7" s="20"/>
      <c r="I7" s="22" t="s">
        <v>31</v>
      </c>
      <c r="J7" s="20"/>
      <c r="K7" s="20" t="str">
        <f aca="false">CONCATENATE(C7,"_i")</f>
        <v>clk_i</v>
      </c>
      <c r="L7" s="20" t="str">
        <f aca="false">CONCATENATE(C7,"_o")</f>
        <v>clk_o</v>
      </c>
    </row>
    <row r="8" customFormat="false" ht="14.9" hidden="false" customHeight="false" outlineLevel="0" collapsed="false">
      <c r="A8" s="14"/>
      <c r="B8" s="20" t="s">
        <v>28</v>
      </c>
      <c r="C8" s="20" t="s">
        <v>32</v>
      </c>
      <c r="D8" s="20" t="s">
        <v>30</v>
      </c>
      <c r="E8" s="21" t="s">
        <v>33</v>
      </c>
      <c r="F8" s="20"/>
      <c r="G8" s="20"/>
      <c r="H8" s="20"/>
      <c r="I8" s="22" t="s">
        <v>31</v>
      </c>
      <c r="J8" s="20"/>
      <c r="K8" s="20" t="str">
        <f aca="false">CONCATENATE(C8,"_i")</f>
        <v>reset_n_i</v>
      </c>
      <c r="L8" s="20" t="str">
        <f aca="false">CONCATENATE(C8,"_o")</f>
        <v>reset_n_o</v>
      </c>
    </row>
    <row r="9" customFormat="false" ht="14.9" hidden="false" customHeight="false" outlineLevel="0" collapsed="false">
      <c r="A9" s="14"/>
      <c r="B9" s="20" t="s">
        <v>28</v>
      </c>
      <c r="C9" s="20" t="s">
        <v>34</v>
      </c>
      <c r="D9" s="20" t="s">
        <v>30</v>
      </c>
      <c r="E9" s="21" t="n">
        <v>1</v>
      </c>
      <c r="F9" s="20"/>
      <c r="G9" s="20"/>
      <c r="H9" s="20"/>
      <c r="I9" s="22" t="s">
        <v>31</v>
      </c>
      <c r="J9" s="20"/>
      <c r="K9" s="20" t="str">
        <f aca="false">CONCATENATE(C9,"_i")</f>
        <v>cs_i</v>
      </c>
      <c r="L9" s="20" t="str">
        <f aca="false">CONCATENATE(C9,"_o")</f>
        <v>cs_o</v>
      </c>
    </row>
    <row r="10" customFormat="false" ht="14.9" hidden="false" customHeight="false" outlineLevel="0" collapsed="false">
      <c r="A10" s="14"/>
      <c r="B10" s="20" t="s">
        <v>28</v>
      </c>
      <c r="C10" s="20" t="s">
        <v>35</v>
      </c>
      <c r="D10" s="20" t="s">
        <v>30</v>
      </c>
      <c r="E10" s="21" t="s">
        <v>36</v>
      </c>
      <c r="F10" s="20"/>
      <c r="G10" s="20"/>
      <c r="H10" s="22"/>
      <c r="I10" s="22" t="s">
        <v>31</v>
      </c>
      <c r="J10" s="20"/>
      <c r="K10" s="20" t="str">
        <f aca="false">CONCATENATE(C10,"_i")</f>
        <v>size_i</v>
      </c>
      <c r="L10" s="20" t="str">
        <f aca="false">CONCATENATE(C10,"_o")</f>
        <v>size_o</v>
      </c>
    </row>
    <row r="11" customFormat="false" ht="14.9" hidden="false" customHeight="false" outlineLevel="0" collapsed="false">
      <c r="A11" s="14"/>
      <c r="B11" s="20" t="s">
        <v>28</v>
      </c>
      <c r="C11" s="20" t="s">
        <v>37</v>
      </c>
      <c r="D11" s="20" t="s">
        <v>38</v>
      </c>
      <c r="E11" s="21" t="s">
        <v>39</v>
      </c>
      <c r="F11" s="20" t="n">
        <v>15</v>
      </c>
      <c r="G11" s="20" t="n">
        <v>0</v>
      </c>
      <c r="H11" s="22"/>
      <c r="I11" s="22" t="s">
        <v>40</v>
      </c>
      <c r="J11" s="22" t="s">
        <v>41</v>
      </c>
      <c r="K11" s="20" t="str">
        <f aca="false">CONCATENATE(C11,"_i")</f>
        <v>addr_i</v>
      </c>
      <c r="L11" s="20" t="str">
        <f aca="false">CONCATENATE(C11,"_o")</f>
        <v>addr_o</v>
      </c>
    </row>
    <row r="12" customFormat="false" ht="14.9" hidden="false" customHeight="false" outlineLevel="0" collapsed="false">
      <c r="A12" s="14"/>
      <c r="B12" s="20" t="s">
        <v>28</v>
      </c>
      <c r="C12" s="20" t="s">
        <v>37</v>
      </c>
      <c r="D12" s="20" t="s">
        <v>42</v>
      </c>
      <c r="E12" s="21" t="s">
        <v>43</v>
      </c>
      <c r="F12" s="20" t="n">
        <v>23</v>
      </c>
      <c r="G12" s="20" t="n">
        <v>16</v>
      </c>
      <c r="H12" s="22"/>
      <c r="I12" s="22" t="s">
        <v>44</v>
      </c>
      <c r="J12" s="22" t="s">
        <v>45</v>
      </c>
      <c r="K12" s="23" t="str">
        <f aca="false">CONCATENATE(C12,"2_i")</f>
        <v>addr2_i</v>
      </c>
      <c r="L12" s="23" t="str">
        <f aca="false">CONCATENATE(C12,"2_o")</f>
        <v>addr2_o</v>
      </c>
    </row>
    <row r="13" customFormat="false" ht="14.9" hidden="false" customHeight="false" outlineLevel="0" collapsed="false">
      <c r="A13" s="14"/>
      <c r="B13" s="20" t="s">
        <v>28</v>
      </c>
      <c r="C13" s="20" t="s">
        <v>46</v>
      </c>
      <c r="D13" s="20" t="s">
        <v>42</v>
      </c>
      <c r="E13" s="21" t="n">
        <v>32</v>
      </c>
      <c r="F13" s="20"/>
      <c r="G13" s="22"/>
      <c r="H13" s="22" t="s">
        <v>47</v>
      </c>
      <c r="I13" s="22" t="s">
        <v>44</v>
      </c>
      <c r="J13" s="20" t="s">
        <v>48</v>
      </c>
      <c r="K13" s="20" t="str">
        <f aca="false">CONCATENATE(C13,"_i")</f>
        <v>data_i</v>
      </c>
      <c r="L13" s="20" t="str">
        <f aca="false">CONCATENATE(C13,"_o")</f>
        <v>data_o</v>
      </c>
    </row>
    <row r="14" customFormat="false" ht="14.9" hidden="false" customHeight="false" outlineLevel="0" collapsed="false">
      <c r="A14" s="14"/>
      <c r="B14" s="20" t="s">
        <v>28</v>
      </c>
      <c r="C14" s="20" t="s">
        <v>49</v>
      </c>
      <c r="D14" s="20" t="s">
        <v>38</v>
      </c>
      <c r="E14" s="21" t="s">
        <v>36</v>
      </c>
      <c r="F14" s="20" t="n">
        <v>0</v>
      </c>
      <c r="G14" s="22" t="n">
        <v>3</v>
      </c>
      <c r="H14" s="22"/>
      <c r="I14" s="22" t="s">
        <v>50</v>
      </c>
      <c r="J14" s="20"/>
      <c r="K14" s="20" t="str">
        <f aca="false">CONCATENATE(C14,"_i")</f>
        <v>ack_i</v>
      </c>
      <c r="L14" s="20" t="str">
        <f aca="false">CONCATENATE(C14,"_o")</f>
        <v>ack_o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4" activeCellId="0" sqref="E14"/>
    </sheetView>
  </sheetViews>
  <sheetFormatPr defaultColWidth="8.95703125" defaultRowHeight="13.45" customHeight="false" zeroHeight="false" outlineLevelRow="0" outlineLevelCol="0"/>
  <cols>
    <col collapsed="false" customWidth="true" hidden="false" outlineLevel="0" max="1" min="1" style="1" width="2.25"/>
    <col collapsed="false" customWidth="true" hidden="false" outlineLevel="0" max="2" min="2" style="1" width="6.11"/>
    <col collapsed="false" customWidth="false" hidden="false" outlineLevel="0" max="3" min="3" style="1" width="8.95"/>
    <col collapsed="false" customWidth="true" hidden="false" outlineLevel="0" max="4" min="4" style="1" width="11.11"/>
    <col collapsed="false" customWidth="true" hidden="false" outlineLevel="0" max="5" min="5" style="1" width="2.98"/>
    <col collapsed="false" customWidth="true" hidden="false" outlineLevel="0" max="6" min="6" style="1" width="11.11"/>
    <col collapsed="false" customWidth="true" hidden="false" outlineLevel="0" max="7" min="7" style="1" width="2.98"/>
    <col collapsed="false" customWidth="true" hidden="false" outlineLevel="0" max="8" min="8" style="1" width="11.11"/>
    <col collapsed="false" customWidth="true" hidden="false" outlineLevel="0" max="9" min="9" style="1" width="2.98"/>
    <col collapsed="false" customWidth="true" hidden="false" outlineLevel="0" max="10" min="10" style="1" width="11.11"/>
    <col collapsed="false" customWidth="false" hidden="false" outlineLevel="0" max="257" min="11" style="1" width="8.95"/>
  </cols>
  <sheetData>
    <row r="2" customFormat="false" ht="13.45" hidden="false" customHeight="false" outlineLevel="0" collapsed="false">
      <c r="B2" s="24" t="s">
        <v>0</v>
      </c>
      <c r="C2" s="24" t="s">
        <v>18</v>
      </c>
      <c r="D2" s="24" t="s">
        <v>51</v>
      </c>
      <c r="E2" s="24"/>
      <c r="F2" s="24" t="s">
        <v>52</v>
      </c>
      <c r="G2" s="24"/>
      <c r="H2" s="24" t="s">
        <v>53</v>
      </c>
      <c r="I2" s="24"/>
      <c r="J2" s="24" t="s">
        <v>19</v>
      </c>
    </row>
    <row r="3" customFormat="false" ht="13.45" hidden="false" customHeight="false" outlineLevel="0" collapsed="false">
      <c r="B3" s="22" t="s">
        <v>54</v>
      </c>
      <c r="C3" s="22" t="s">
        <v>31</v>
      </c>
      <c r="D3" s="22" t="s">
        <v>55</v>
      </c>
      <c r="E3" s="22" t="s">
        <v>56</v>
      </c>
      <c r="F3" s="22" t="s">
        <v>57</v>
      </c>
      <c r="G3" s="20"/>
      <c r="H3" s="20"/>
      <c r="I3" s="20"/>
      <c r="J3" s="20"/>
    </row>
    <row r="4" customFormat="false" ht="13.45" hidden="false" customHeight="false" outlineLevel="0" collapsed="false">
      <c r="B4" s="22" t="s">
        <v>54</v>
      </c>
      <c r="C4" s="22" t="s">
        <v>58</v>
      </c>
      <c r="D4" s="22" t="s">
        <v>59</v>
      </c>
      <c r="E4" s="22" t="s">
        <v>56</v>
      </c>
      <c r="F4" s="22" t="s">
        <v>60</v>
      </c>
      <c r="G4" s="20" t="s">
        <v>56</v>
      </c>
      <c r="H4" s="20" t="s">
        <v>61</v>
      </c>
      <c r="I4" s="20"/>
      <c r="J4" s="20"/>
    </row>
    <row r="5" customFormat="false" ht="13.45" hidden="false" customHeight="false" outlineLevel="0" collapsed="false">
      <c r="B5" s="22" t="s">
        <v>54</v>
      </c>
      <c r="C5" s="20" t="s">
        <v>44</v>
      </c>
      <c r="D5" s="20" t="s">
        <v>55</v>
      </c>
      <c r="E5" s="20" t="s">
        <v>56</v>
      </c>
      <c r="F5" s="20" t="s">
        <v>60</v>
      </c>
      <c r="G5" s="20" t="s">
        <v>56</v>
      </c>
      <c r="H5" s="20" t="s">
        <v>61</v>
      </c>
      <c r="I5" s="20" t="s">
        <v>56</v>
      </c>
      <c r="J5" s="20" t="s">
        <v>62</v>
      </c>
    </row>
    <row r="6" customFormat="false" ht="13.45" hidden="false" customHeight="false" outlineLevel="0" collapsed="false">
      <c r="B6" s="20" t="s">
        <v>54</v>
      </c>
      <c r="C6" s="20" t="s">
        <v>50</v>
      </c>
      <c r="D6" s="20" t="s">
        <v>59</v>
      </c>
      <c r="E6" s="20" t="s">
        <v>56</v>
      </c>
      <c r="F6" s="20" t="s">
        <v>60</v>
      </c>
      <c r="G6" s="20"/>
      <c r="H6" s="20"/>
      <c r="I6" s="20"/>
      <c r="J6" s="20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P7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39" activeCellId="0" sqref="K39"/>
    </sheetView>
  </sheetViews>
  <sheetFormatPr defaultColWidth="8.95703125" defaultRowHeight="13.45" customHeight="false" zeroHeight="false" outlineLevelRow="0" outlineLevelCol="0"/>
  <cols>
    <col collapsed="false" customWidth="true" hidden="false" outlineLevel="0" max="1" min="1" style="1" width="2.75"/>
    <col collapsed="false" customWidth="true" hidden="false" outlineLevel="0" max="2" min="2" style="1" width="9.98"/>
    <col collapsed="false" customWidth="true" hidden="false" outlineLevel="0" max="3" min="3" style="1" width="15.98"/>
    <col collapsed="false" customWidth="true" hidden="false" outlineLevel="0" max="4" min="4" style="1" width="13.25"/>
    <col collapsed="false" customWidth="true" hidden="false" outlineLevel="0" max="5" min="5" style="1" width="10.98"/>
    <col collapsed="false" customWidth="true" hidden="false" outlineLevel="0" max="6" min="6" style="1" width="12.25"/>
    <col collapsed="false" customWidth="true" hidden="false" outlineLevel="0" max="7" min="7" style="1" width="11.11"/>
    <col collapsed="false" customWidth="true" hidden="false" outlineLevel="0" max="8" min="8" style="1" width="11.75"/>
    <col collapsed="false" customWidth="true" hidden="false" outlineLevel="0" max="9" min="9" style="1" width="14.61"/>
    <col collapsed="false" customWidth="true" hidden="false" outlineLevel="0" max="10" min="10" style="1" width="6.98"/>
    <col collapsed="false" customWidth="true" hidden="false" outlineLevel="0" max="11" min="11" style="1" width="15.48"/>
    <col collapsed="false" customWidth="false" hidden="false" outlineLevel="0" max="12" min="12" style="1" width="8.95"/>
    <col collapsed="false" customWidth="true" hidden="false" outlineLevel="0" max="13" min="13" style="1" width="8.75"/>
    <col collapsed="false" customWidth="true" hidden="false" outlineLevel="0" max="14" min="14" style="1" width="6.61"/>
    <col collapsed="false" customWidth="true" hidden="false" outlineLevel="0" max="15" min="15" style="1" width="11.48"/>
    <col collapsed="false" customWidth="false" hidden="false" outlineLevel="0" max="257" min="16" style="1" width="8.95"/>
  </cols>
  <sheetData>
    <row r="2" customFormat="false" ht="13.45" hidden="false" customHeight="false" outlineLevel="0" collapsed="false">
      <c r="A2" s="14"/>
      <c r="B2" s="14" t="s">
        <v>63</v>
      </c>
      <c r="C2" s="15" t="s">
        <v>5</v>
      </c>
      <c r="D2" s="14"/>
      <c r="E2" s="14"/>
      <c r="F2" s="14"/>
      <c r="G2" s="14"/>
      <c r="H2" s="14"/>
      <c r="I2" s="14"/>
    </row>
    <row r="3" customFormat="false" ht="13.45" hidden="false" customHeight="false" outlineLevel="0" collapsed="false">
      <c r="A3" s="14"/>
      <c r="B3" s="14"/>
      <c r="C3" s="15"/>
      <c r="D3" s="14"/>
      <c r="E3" s="14"/>
      <c r="F3" s="14"/>
      <c r="G3" s="14"/>
      <c r="H3" s="14"/>
      <c r="I3" s="14"/>
    </row>
    <row r="4" customFormat="false" ht="13.45" hidden="false" customHeight="false" outlineLevel="0" collapsed="false">
      <c r="A4" s="11"/>
      <c r="B4" s="14" t="s">
        <v>64</v>
      </c>
      <c r="C4" s="15" t="s">
        <v>5</v>
      </c>
      <c r="D4" s="14"/>
      <c r="E4" s="14"/>
      <c r="F4" s="14"/>
      <c r="G4" s="14"/>
      <c r="H4" s="14"/>
      <c r="I4" s="14"/>
    </row>
    <row r="5" customFormat="false" ht="13.45" hidden="false" customHeight="false" outlineLevel="0" collapsed="false">
      <c r="A5" s="11"/>
      <c r="B5" s="25" t="s">
        <v>0</v>
      </c>
      <c r="C5" s="26" t="s">
        <v>65</v>
      </c>
      <c r="D5" s="27"/>
      <c r="E5" s="28"/>
      <c r="F5" s="14"/>
      <c r="G5" s="14"/>
      <c r="H5" s="14"/>
      <c r="I5" s="14"/>
    </row>
    <row r="6" customFormat="false" ht="13.45" hidden="false" customHeight="false" outlineLevel="0" collapsed="false">
      <c r="B6" s="14" t="s">
        <v>66</v>
      </c>
      <c r="C6" s="14" t="s">
        <v>67</v>
      </c>
      <c r="D6" s="14" t="s">
        <v>68</v>
      </c>
      <c r="E6" s="14" t="s">
        <v>69</v>
      </c>
      <c r="F6" s="14"/>
      <c r="G6" s="14"/>
      <c r="H6" s="14"/>
      <c r="I6" s="14"/>
      <c r="J6" s="14"/>
      <c r="K6" s="14"/>
    </row>
    <row r="7" customFormat="false" ht="13.45" hidden="false" customHeight="false" outlineLevel="0" collapsed="false">
      <c r="B7" s="14" t="s">
        <v>66</v>
      </c>
      <c r="C7" s="14" t="s">
        <v>70</v>
      </c>
      <c r="D7" s="14" t="s">
        <v>71</v>
      </c>
      <c r="E7" s="12"/>
      <c r="F7" s="14"/>
      <c r="G7" s="14"/>
      <c r="H7" s="14"/>
      <c r="I7" s="14"/>
      <c r="J7" s="14"/>
      <c r="K7" s="14"/>
    </row>
    <row r="8" customFormat="false" ht="13.45" hidden="false" customHeight="false" outlineLevel="0" collapsed="false">
      <c r="B8" s="14" t="s">
        <v>66</v>
      </c>
      <c r="C8" s="14" t="s">
        <v>72</v>
      </c>
      <c r="D8" s="14" t="s">
        <v>73</v>
      </c>
      <c r="E8" s="12"/>
      <c r="F8" s="14"/>
      <c r="G8" s="14"/>
      <c r="H8" s="14"/>
      <c r="I8" s="14"/>
      <c r="J8" s="14"/>
      <c r="K8" s="14"/>
    </row>
    <row r="9" customFormat="false" ht="12.75" hidden="false" customHeight="true" outlineLevel="0" collapsed="false">
      <c r="A9" s="11"/>
      <c r="B9" s="11"/>
      <c r="C9" s="11"/>
      <c r="D9" s="14"/>
      <c r="E9" s="14"/>
      <c r="F9" s="14"/>
      <c r="G9" s="14"/>
      <c r="H9" s="14"/>
      <c r="I9" s="14"/>
    </row>
    <row r="10" customFormat="false" ht="13.45" hidden="false" customHeight="false" outlineLevel="0" collapsed="false">
      <c r="A10" s="11"/>
      <c r="B10" s="14" t="s">
        <v>64</v>
      </c>
      <c r="C10" s="15" t="s">
        <v>74</v>
      </c>
      <c r="D10" s="14"/>
      <c r="E10" s="14"/>
      <c r="F10" s="14"/>
      <c r="G10" s="14"/>
      <c r="H10" s="14"/>
      <c r="I10" s="14"/>
    </row>
    <row r="11" customFormat="false" ht="13.45" hidden="false" customHeight="false" outlineLevel="0" collapsed="false">
      <c r="A11" s="11"/>
      <c r="B11" s="11"/>
      <c r="C11" s="11"/>
      <c r="D11" s="11"/>
      <c r="E11" s="11"/>
      <c r="F11" s="11"/>
      <c r="G11" s="11"/>
      <c r="H11" s="11"/>
      <c r="I11" s="11"/>
    </row>
    <row r="12" customFormat="false" ht="13.45" hidden="false" customHeight="false" outlineLevel="0" collapsed="false">
      <c r="A12" s="11"/>
      <c r="B12" s="29" t="s">
        <v>0</v>
      </c>
      <c r="C12" s="30" t="s">
        <v>75</v>
      </c>
      <c r="D12" s="30"/>
      <c r="E12" s="30"/>
      <c r="F12" s="30"/>
      <c r="G12" s="30"/>
      <c r="H12" s="31"/>
      <c r="I12" s="14"/>
      <c r="J12" s="14"/>
      <c r="K12" s="14"/>
    </row>
    <row r="13" customFormat="false" ht="13.45" hidden="false" customHeight="false" outlineLevel="0" collapsed="false">
      <c r="A13" s="11"/>
      <c r="B13" s="14" t="s">
        <v>64</v>
      </c>
      <c r="C13" s="14" t="s">
        <v>69</v>
      </c>
      <c r="D13" s="14"/>
      <c r="E13" s="14"/>
      <c r="F13" s="14"/>
      <c r="G13" s="14"/>
      <c r="H13" s="14"/>
      <c r="I13" s="14"/>
      <c r="J13" s="14"/>
      <c r="K13" s="14"/>
    </row>
    <row r="14" customFormat="false" ht="13.45" hidden="false" customHeight="false" outlineLevel="0" collapsed="false">
      <c r="A14" s="11"/>
      <c r="B14" s="12" t="s">
        <v>76</v>
      </c>
      <c r="C14" s="14" t="s">
        <v>77</v>
      </c>
      <c r="D14" s="14" t="s">
        <v>78</v>
      </c>
      <c r="E14" s="12" t="s">
        <v>35</v>
      </c>
      <c r="F14" s="12" t="s">
        <v>79</v>
      </c>
      <c r="G14" s="12" t="s">
        <v>80</v>
      </c>
      <c r="H14" s="12" t="s">
        <v>81</v>
      </c>
      <c r="I14" s="12" t="s">
        <v>82</v>
      </c>
      <c r="J14" s="12" t="s">
        <v>83</v>
      </c>
      <c r="K14" s="12" t="s">
        <v>84</v>
      </c>
      <c r="L14" s="12" t="s">
        <v>85</v>
      </c>
    </row>
    <row r="15" customFormat="false" ht="13.45" hidden="false" customHeight="false" outlineLevel="0" collapsed="false">
      <c r="A15" s="11"/>
      <c r="B15" s="14"/>
      <c r="C15" s="14"/>
      <c r="D15" s="14"/>
      <c r="E15" s="14"/>
      <c r="F15" s="14"/>
      <c r="G15" s="14"/>
      <c r="H15" s="14"/>
      <c r="I15" s="14"/>
      <c r="J15" s="14"/>
      <c r="K15" s="14"/>
    </row>
    <row r="16" customFormat="false" ht="13.45" hidden="false" customHeight="false" outlineLevel="0" collapsed="false">
      <c r="A16" s="11"/>
      <c r="B16" s="25" t="s">
        <v>0</v>
      </c>
      <c r="C16" s="28" t="s">
        <v>86</v>
      </c>
      <c r="D16" s="14"/>
      <c r="E16" s="14"/>
      <c r="F16" s="14"/>
      <c r="G16" s="14"/>
      <c r="H16" s="14"/>
      <c r="I16" s="14"/>
      <c r="J16" s="14"/>
      <c r="K16" s="14"/>
    </row>
    <row r="17" customFormat="false" ht="13.45" hidden="false" customHeight="false" outlineLevel="0" collapsed="false">
      <c r="A17" s="11"/>
      <c r="B17" s="12" t="s">
        <v>87</v>
      </c>
      <c r="C17" s="12" t="s">
        <v>35</v>
      </c>
      <c r="E17" s="14" t="s">
        <v>88</v>
      </c>
      <c r="F17" s="12" t="str">
        <f aca="false">C17</f>
        <v>size</v>
      </c>
      <c r="G17" s="14" t="n">
        <v>1</v>
      </c>
      <c r="H17" s="12" t="s">
        <v>89</v>
      </c>
      <c r="I17" s="14"/>
      <c r="J17" s="14"/>
      <c r="K17" s="14"/>
    </row>
    <row r="18" customFormat="false" ht="13.45" hidden="false" customHeight="false" outlineLevel="0" collapsed="false">
      <c r="A18" s="11"/>
      <c r="B18" s="12" t="s">
        <v>87</v>
      </c>
      <c r="C18" s="12" t="s">
        <v>79</v>
      </c>
      <c r="E18" s="14" t="s">
        <v>88</v>
      </c>
      <c r="F18" s="12" t="str">
        <f aca="false">C18</f>
        <v>up</v>
      </c>
      <c r="G18" s="12" t="s">
        <v>90</v>
      </c>
      <c r="H18" s="12" t="s">
        <v>89</v>
      </c>
      <c r="I18" s="14"/>
      <c r="J18" s="14"/>
      <c r="K18" s="14"/>
    </row>
    <row r="19" customFormat="false" ht="13.45" hidden="false" customHeight="false" outlineLevel="0" collapsed="false">
      <c r="A19" s="11"/>
      <c r="B19" s="12" t="s">
        <v>87</v>
      </c>
      <c r="C19" s="12" t="s">
        <v>80</v>
      </c>
      <c r="E19" s="12" t="s">
        <v>88</v>
      </c>
      <c r="F19" s="12" t="str">
        <f aca="false">C19</f>
        <v>dn</v>
      </c>
      <c r="G19" s="14" t="n">
        <v>0</v>
      </c>
      <c r="H19" s="12" t="s">
        <v>89</v>
      </c>
      <c r="I19" s="14"/>
      <c r="J19" s="14"/>
      <c r="K19" s="14"/>
    </row>
    <row r="20" customFormat="false" ht="13.45" hidden="false" customHeight="false" outlineLevel="0" collapsed="false">
      <c r="A20" s="11"/>
      <c r="B20" s="12" t="s">
        <v>87</v>
      </c>
      <c r="C20" s="12" t="s">
        <v>81</v>
      </c>
      <c r="E20" s="12" t="s">
        <v>88</v>
      </c>
      <c r="F20" s="12" t="str">
        <f aca="false">C20</f>
        <v>frm</v>
      </c>
      <c r="G20" s="12" t="s">
        <v>91</v>
      </c>
      <c r="H20" s="12" t="s">
        <v>89</v>
      </c>
      <c r="I20" s="14"/>
      <c r="J20" s="14"/>
      <c r="K20" s="14"/>
    </row>
    <row r="21" customFormat="false" ht="13.45" hidden="false" customHeight="false" outlineLevel="0" collapsed="false">
      <c r="A21" s="11"/>
      <c r="B21" s="12" t="s">
        <v>87</v>
      </c>
      <c r="C21" s="12" t="s">
        <v>78</v>
      </c>
      <c r="D21" s="12" t="s">
        <v>92</v>
      </c>
      <c r="E21" s="12" t="s">
        <v>88</v>
      </c>
      <c r="F21" s="12" t="str">
        <f aca="false">C21</f>
        <v>io</v>
      </c>
      <c r="G21" s="12" t="s">
        <v>93</v>
      </c>
      <c r="H21" s="12" t="s">
        <v>89</v>
      </c>
      <c r="I21" s="14"/>
      <c r="J21" s="14"/>
      <c r="K21" s="14"/>
    </row>
    <row r="22" customFormat="false" ht="13.45" hidden="false" customHeight="false" outlineLevel="0" collapsed="false">
      <c r="A22" s="11"/>
      <c r="B22" s="12" t="s">
        <v>87</v>
      </c>
      <c r="C22" s="12" t="s">
        <v>78</v>
      </c>
      <c r="D22" s="12" t="s">
        <v>94</v>
      </c>
      <c r="E22" s="12" t="s">
        <v>88</v>
      </c>
      <c r="F22" s="12" t="str">
        <f aca="false">C22</f>
        <v>io</v>
      </c>
      <c r="G22" s="12" t="s">
        <v>95</v>
      </c>
      <c r="H22" s="12" t="s">
        <v>89</v>
      </c>
      <c r="I22" s="14"/>
      <c r="J22" s="14"/>
      <c r="K22" s="14"/>
    </row>
    <row r="23" customFormat="false" ht="13.45" hidden="false" customHeight="false" outlineLevel="0" collapsed="false">
      <c r="A23" s="11"/>
      <c r="B23" s="12" t="s">
        <v>87</v>
      </c>
      <c r="C23" s="12" t="s">
        <v>78</v>
      </c>
      <c r="D23" s="12" t="s">
        <v>96</v>
      </c>
      <c r="E23" s="12" t="s">
        <v>88</v>
      </c>
      <c r="F23" s="12" t="str">
        <f aca="false">C23</f>
        <v>io</v>
      </c>
      <c r="G23" s="12" t="s">
        <v>78</v>
      </c>
      <c r="H23" s="12" t="s">
        <v>89</v>
      </c>
      <c r="I23" s="14"/>
      <c r="J23" s="14"/>
      <c r="K23" s="14"/>
    </row>
    <row r="24" customFormat="false" ht="13.45" hidden="false" customHeight="false" outlineLevel="0" collapsed="false">
      <c r="A24" s="11"/>
      <c r="B24" s="12" t="s">
        <v>87</v>
      </c>
      <c r="C24" s="12" t="s">
        <v>78</v>
      </c>
      <c r="D24" s="12" t="s">
        <v>52</v>
      </c>
      <c r="E24" s="12" t="s">
        <v>88</v>
      </c>
      <c r="F24" s="12" t="str">
        <f aca="false">C24</f>
        <v>io</v>
      </c>
      <c r="G24" s="12" t="s">
        <v>93</v>
      </c>
      <c r="H24" s="12" t="s">
        <v>89</v>
      </c>
      <c r="I24" s="14"/>
      <c r="J24" s="14"/>
      <c r="K24" s="14"/>
    </row>
    <row r="25" customFormat="false" ht="13.45" hidden="false" customHeight="false" outlineLevel="0" collapsed="false">
      <c r="A25" s="11"/>
      <c r="B25" s="12" t="s">
        <v>87</v>
      </c>
      <c r="C25" s="12" t="s">
        <v>78</v>
      </c>
      <c r="D25" s="12" t="s">
        <v>51</v>
      </c>
      <c r="E25" s="12" t="s">
        <v>88</v>
      </c>
      <c r="F25" s="12" t="str">
        <f aca="false">C25</f>
        <v>io</v>
      </c>
      <c r="G25" s="12" t="s">
        <v>95</v>
      </c>
      <c r="H25" s="12" t="s">
        <v>89</v>
      </c>
      <c r="I25" s="14"/>
      <c r="J25" s="14"/>
      <c r="K25" s="14"/>
    </row>
    <row r="26" customFormat="false" ht="13.45" hidden="false" customHeight="false" outlineLevel="0" collapsed="false">
      <c r="A26" s="11"/>
      <c r="B26" s="12" t="s">
        <v>87</v>
      </c>
      <c r="C26" s="12" t="s">
        <v>78</v>
      </c>
      <c r="D26" s="12" t="s">
        <v>19</v>
      </c>
      <c r="E26" s="12" t="s">
        <v>88</v>
      </c>
      <c r="F26" s="12" t="str">
        <f aca="false">C26</f>
        <v>io</v>
      </c>
      <c r="G26" s="12" t="s">
        <v>78</v>
      </c>
      <c r="H26" s="12" t="s">
        <v>89</v>
      </c>
      <c r="I26" s="14"/>
      <c r="J26" s="14"/>
      <c r="K26" s="14"/>
    </row>
    <row r="27" customFormat="false" ht="13.45" hidden="false" customHeight="false" outlineLevel="0" collapsed="false">
      <c r="A27" s="11"/>
      <c r="B27" s="14"/>
      <c r="C27" s="14"/>
      <c r="D27" s="14"/>
      <c r="E27" s="14"/>
      <c r="F27" s="14"/>
      <c r="G27" s="14"/>
      <c r="H27" s="14"/>
      <c r="I27" s="14"/>
      <c r="J27" s="14"/>
      <c r="K27" s="14"/>
    </row>
    <row r="28" customFormat="false" ht="14.9" hidden="false" customHeight="false" outlineLevel="0" collapsed="false">
      <c r="A28" s="11"/>
      <c r="B28" s="25" t="s">
        <v>0</v>
      </c>
      <c r="C28" s="28" t="s">
        <v>97</v>
      </c>
      <c r="D28" s="14"/>
      <c r="E28" s="14"/>
      <c r="F28" s="14"/>
      <c r="G28" s="14"/>
      <c r="H28" s="14"/>
      <c r="I28" s="14"/>
      <c r="J28" s="14"/>
      <c r="K28" s="14"/>
    </row>
    <row r="29" customFormat="false" ht="13.45" hidden="false" customHeight="false" outlineLevel="0" collapsed="false">
      <c r="A29" s="11"/>
      <c r="B29" s="11" t="s">
        <v>98</v>
      </c>
      <c r="C29" s="11" t="s">
        <v>99</v>
      </c>
      <c r="D29" s="12" t="s">
        <v>100</v>
      </c>
      <c r="E29" s="32" t="s">
        <v>101</v>
      </c>
      <c r="F29" s="32" t="s">
        <v>102</v>
      </c>
      <c r="G29" s="32" t="s">
        <v>103</v>
      </c>
      <c r="H29" s="14"/>
      <c r="I29" s="14"/>
      <c r="J29" s="14"/>
      <c r="K29" s="14"/>
    </row>
    <row r="30" customFormat="false" ht="13.45" hidden="false" customHeight="false" outlineLevel="0" collapsed="false">
      <c r="A30" s="11"/>
      <c r="B30" s="12" t="s">
        <v>87</v>
      </c>
      <c r="C30" s="12" t="s">
        <v>78</v>
      </c>
      <c r="D30" s="12" t="s">
        <v>93</v>
      </c>
      <c r="E30" s="12" t="s">
        <v>104</v>
      </c>
      <c r="F30" s="12" t="s">
        <v>105</v>
      </c>
      <c r="G30" s="14" t="s">
        <v>106</v>
      </c>
      <c r="I30" s="14"/>
      <c r="J30" s="14"/>
      <c r="K30" s="1" t="s">
        <v>88</v>
      </c>
      <c r="L30" s="1" t="s">
        <v>102</v>
      </c>
      <c r="M30" s="1" t="s">
        <v>107</v>
      </c>
      <c r="N30" s="12" t="s">
        <v>89</v>
      </c>
    </row>
    <row r="31" customFormat="false" ht="13.45" hidden="false" customHeight="false" outlineLevel="0" collapsed="false">
      <c r="A31" s="11"/>
      <c r="B31" s="12" t="s">
        <v>87</v>
      </c>
      <c r="C31" s="12" t="s">
        <v>78</v>
      </c>
      <c r="D31" s="12" t="s">
        <v>95</v>
      </c>
      <c r="E31" s="12" t="s">
        <v>104</v>
      </c>
      <c r="F31" s="12" t="s">
        <v>108</v>
      </c>
      <c r="G31" s="14" t="s">
        <v>106</v>
      </c>
      <c r="I31" s="14"/>
      <c r="J31" s="14"/>
      <c r="K31" s="1" t="s">
        <v>88</v>
      </c>
      <c r="L31" s="1" t="s">
        <v>102</v>
      </c>
      <c r="M31" s="1" t="s">
        <v>109</v>
      </c>
      <c r="N31" s="12" t="s">
        <v>89</v>
      </c>
    </row>
    <row r="32" customFormat="false" ht="13.45" hidden="false" customHeight="false" outlineLevel="0" collapsed="false">
      <c r="B32" s="12" t="s">
        <v>87</v>
      </c>
      <c r="C32" s="12" t="s">
        <v>78</v>
      </c>
      <c r="D32" s="12" t="s">
        <v>78</v>
      </c>
      <c r="E32" s="12" t="s">
        <v>104</v>
      </c>
      <c r="F32" s="12" t="s">
        <v>105</v>
      </c>
      <c r="G32" s="14" t="s">
        <v>106</v>
      </c>
      <c r="H32" s="12" t="s">
        <v>104</v>
      </c>
      <c r="I32" s="12" t="s">
        <v>108</v>
      </c>
      <c r="J32" s="14" t="s">
        <v>106</v>
      </c>
      <c r="K32" s="1" t="s">
        <v>88</v>
      </c>
      <c r="L32" s="1" t="s">
        <v>102</v>
      </c>
      <c r="M32" s="1" t="s">
        <v>110</v>
      </c>
      <c r="N32" s="1" t="s">
        <v>89</v>
      </c>
    </row>
    <row r="33" customFormat="false" ht="13.45" hidden="false" customHeight="false" outlineLevel="0" collapsed="false">
      <c r="B33" s="1" t="s">
        <v>87</v>
      </c>
      <c r="C33" s="1" t="s">
        <v>35</v>
      </c>
      <c r="D33" s="1" t="n">
        <v>1</v>
      </c>
    </row>
    <row r="34" customFormat="false" ht="13.45" hidden="false" customHeight="false" outlineLevel="0" collapsed="false">
      <c r="C34" s="12" t="s">
        <v>104</v>
      </c>
      <c r="D34" s="12" t="s">
        <v>111</v>
      </c>
      <c r="E34" s="1" t="n">
        <v>1</v>
      </c>
      <c r="F34" s="12"/>
    </row>
    <row r="35" customFormat="false" ht="13.45" hidden="false" customHeight="false" outlineLevel="0" collapsed="false">
      <c r="C35" s="12" t="s">
        <v>112</v>
      </c>
      <c r="D35" s="12" t="s">
        <v>111</v>
      </c>
      <c r="E35" s="12"/>
      <c r="F35" s="12"/>
    </row>
    <row r="36" customFormat="false" ht="13.45" hidden="false" customHeight="false" outlineLevel="0" collapsed="false">
      <c r="B36" s="1" t="s">
        <v>113</v>
      </c>
    </row>
    <row r="37" customFormat="false" ht="13.45" hidden="false" customHeight="false" outlineLevel="0" collapsed="false">
      <c r="C37" s="1" t="s">
        <v>114</v>
      </c>
      <c r="D37" s="1" t="s">
        <v>115</v>
      </c>
      <c r="E37" s="1" t="s">
        <v>88</v>
      </c>
      <c r="F37" s="1" t="s">
        <v>100</v>
      </c>
      <c r="G37" s="1" t="s">
        <v>116</v>
      </c>
      <c r="H37" s="1" t="s">
        <v>88</v>
      </c>
      <c r="I37" s="1" t="s">
        <v>101</v>
      </c>
      <c r="J37" s="1" t="s">
        <v>117</v>
      </c>
      <c r="K37" s="1" t="s">
        <v>88</v>
      </c>
      <c r="L37" s="1" t="s">
        <v>103</v>
      </c>
      <c r="M37" s="1" t="s">
        <v>118</v>
      </c>
    </row>
    <row r="38" customFormat="false" ht="13.45" hidden="false" customHeight="false" outlineLevel="0" collapsed="false">
      <c r="C38" s="1" t="s">
        <v>113</v>
      </c>
      <c r="E38" s="1" t="s">
        <v>88</v>
      </c>
      <c r="F38" s="1" t="s">
        <v>100</v>
      </c>
      <c r="G38" s="1" t="s">
        <v>117</v>
      </c>
      <c r="H38" s="1" t="s">
        <v>88</v>
      </c>
      <c r="I38" s="1" t="s">
        <v>101</v>
      </c>
      <c r="J38" s="1" t="s">
        <v>116</v>
      </c>
      <c r="K38" s="1" t="s">
        <v>88</v>
      </c>
      <c r="L38" s="1" t="s">
        <v>103</v>
      </c>
      <c r="M38" s="1" t="s">
        <v>55</v>
      </c>
      <c r="N38" s="1" t="s">
        <v>89</v>
      </c>
    </row>
    <row r="39" customFormat="false" ht="13.45" hidden="false" customHeight="false" outlineLevel="0" collapsed="false">
      <c r="C39" s="1" t="s">
        <v>119</v>
      </c>
      <c r="D39" s="1" t="s">
        <v>60</v>
      </c>
      <c r="E39" s="1" t="s">
        <v>106</v>
      </c>
    </row>
    <row r="40" customFormat="false" ht="13.45" hidden="false" customHeight="false" outlineLevel="0" collapsed="false">
      <c r="D40" s="12" t="s">
        <v>120</v>
      </c>
      <c r="E40" s="1" t="s">
        <v>99</v>
      </c>
      <c r="F40" s="1" t="s">
        <v>121</v>
      </c>
      <c r="G40" s="1" t="s">
        <v>122</v>
      </c>
    </row>
    <row r="41" customFormat="false" ht="13.45" hidden="false" customHeight="false" outlineLevel="0" collapsed="false">
      <c r="D41" s="1" t="s">
        <v>104</v>
      </c>
      <c r="E41" s="1" t="s">
        <v>123</v>
      </c>
      <c r="F41" s="1" t="n">
        <v>1</v>
      </c>
    </row>
    <row r="42" customFormat="false" ht="13.45" hidden="false" customHeight="false" outlineLevel="0" collapsed="false">
      <c r="D42" s="12" t="s">
        <v>112</v>
      </c>
      <c r="E42" s="12" t="s">
        <v>123</v>
      </c>
    </row>
    <row r="43" customFormat="false" ht="13.45" hidden="false" customHeight="false" outlineLevel="0" collapsed="false">
      <c r="C43" s="1" t="s">
        <v>124</v>
      </c>
    </row>
    <row r="44" customFormat="false" ht="13.45" hidden="false" customHeight="false" outlineLevel="0" collapsed="false">
      <c r="B44" s="1" t="s">
        <v>89</v>
      </c>
    </row>
    <row r="46" customFormat="false" ht="13.45" hidden="false" customHeight="false" outlineLevel="0" collapsed="false">
      <c r="B46" s="25" t="s">
        <v>0</v>
      </c>
      <c r="C46" s="28" t="s">
        <v>125</v>
      </c>
    </row>
    <row r="48" customFormat="false" ht="13.45" hidden="false" customHeight="false" outlineLevel="0" collapsed="false">
      <c r="B48" s="1" t="s">
        <v>87</v>
      </c>
      <c r="C48" s="1" t="s">
        <v>35</v>
      </c>
      <c r="D48" s="1" t="n">
        <v>1</v>
      </c>
    </row>
    <row r="49" customFormat="false" ht="13.45" hidden="false" customHeight="false" outlineLevel="0" collapsed="false">
      <c r="C49" s="1" t="s">
        <v>87</v>
      </c>
      <c r="D49" s="1" t="s">
        <v>83</v>
      </c>
    </row>
    <row r="50" customFormat="false" ht="13.45" hidden="false" customHeight="false" outlineLevel="0" collapsed="false">
      <c r="D50" s="1" t="s">
        <v>87</v>
      </c>
      <c r="E50" s="1" t="s">
        <v>78</v>
      </c>
      <c r="F50" s="1" t="s">
        <v>93</v>
      </c>
      <c r="G50" s="12" t="s">
        <v>126</v>
      </c>
      <c r="H50" s="1" t="s">
        <v>127</v>
      </c>
      <c r="I50" s="12" t="s">
        <v>105</v>
      </c>
      <c r="J50" s="1" t="s">
        <v>56</v>
      </c>
      <c r="K50" s="12" t="s">
        <v>111</v>
      </c>
      <c r="P50" s="1" t="s">
        <v>89</v>
      </c>
    </row>
    <row r="51" customFormat="false" ht="13.45" hidden="false" customHeight="false" outlineLevel="0" collapsed="false">
      <c r="D51" s="1" t="s">
        <v>87</v>
      </c>
      <c r="E51" s="1" t="s">
        <v>78</v>
      </c>
      <c r="F51" s="1" t="s">
        <v>95</v>
      </c>
      <c r="G51" s="12" t="s">
        <v>126</v>
      </c>
      <c r="H51" s="1" t="s">
        <v>127</v>
      </c>
      <c r="I51" s="12" t="s">
        <v>111</v>
      </c>
      <c r="J51" s="1" t="s">
        <v>56</v>
      </c>
      <c r="K51" s="12" t="s">
        <v>108</v>
      </c>
      <c r="P51" s="1" t="s">
        <v>89</v>
      </c>
    </row>
    <row r="52" customFormat="false" ht="13.45" hidden="false" customHeight="false" outlineLevel="0" collapsed="false">
      <c r="D52" s="1" t="s">
        <v>87</v>
      </c>
      <c r="E52" s="1" t="s">
        <v>78</v>
      </c>
      <c r="F52" s="1" t="s">
        <v>78</v>
      </c>
      <c r="G52" s="12" t="s">
        <v>126</v>
      </c>
      <c r="H52" s="1" t="s">
        <v>127</v>
      </c>
      <c r="I52" s="12" t="s">
        <v>105</v>
      </c>
      <c r="J52" s="1" t="s">
        <v>56</v>
      </c>
      <c r="K52" s="12" t="s">
        <v>108</v>
      </c>
      <c r="L52" s="1" t="s">
        <v>56</v>
      </c>
      <c r="M52" s="1" t="s">
        <v>128</v>
      </c>
      <c r="N52" s="1" t="s">
        <v>56</v>
      </c>
      <c r="O52" s="1" t="s">
        <v>111</v>
      </c>
      <c r="P52" s="1" t="s">
        <v>89</v>
      </c>
    </row>
    <row r="53" customFormat="false" ht="13.45" hidden="false" customHeight="false" outlineLevel="0" collapsed="false">
      <c r="C53" s="1" t="s">
        <v>113</v>
      </c>
      <c r="G53" s="12"/>
      <c r="I53" s="12"/>
      <c r="K53" s="12"/>
    </row>
    <row r="54" customFormat="false" ht="13.45" hidden="false" customHeight="false" outlineLevel="0" collapsed="false">
      <c r="D54" s="1" t="s">
        <v>87</v>
      </c>
      <c r="E54" s="1" t="s">
        <v>78</v>
      </c>
      <c r="F54" s="1" t="s">
        <v>93</v>
      </c>
      <c r="G54" s="12" t="s">
        <v>126</v>
      </c>
      <c r="H54" s="1" t="s">
        <v>127</v>
      </c>
      <c r="I54" s="12" t="s">
        <v>105</v>
      </c>
      <c r="J54" s="1" t="s">
        <v>56</v>
      </c>
      <c r="K54" s="12" t="s">
        <v>111</v>
      </c>
      <c r="L54" s="12" t="s">
        <v>56</v>
      </c>
      <c r="M54" s="1" t="s">
        <v>129</v>
      </c>
      <c r="P54" s="1" t="s">
        <v>89</v>
      </c>
    </row>
    <row r="55" customFormat="false" ht="13.45" hidden="false" customHeight="false" outlineLevel="0" collapsed="false">
      <c r="D55" s="1" t="s">
        <v>87</v>
      </c>
      <c r="E55" s="1" t="s">
        <v>78</v>
      </c>
      <c r="F55" s="1" t="s">
        <v>95</v>
      </c>
      <c r="G55" s="12" t="s">
        <v>126</v>
      </c>
      <c r="H55" s="1" t="s">
        <v>127</v>
      </c>
      <c r="I55" s="12" t="s">
        <v>111</v>
      </c>
      <c r="J55" s="1" t="s">
        <v>56</v>
      </c>
      <c r="K55" s="12" t="s">
        <v>108</v>
      </c>
      <c r="L55" s="1" t="s">
        <v>56</v>
      </c>
      <c r="M55" s="1" t="s">
        <v>129</v>
      </c>
      <c r="P55" s="1" t="s">
        <v>89</v>
      </c>
    </row>
    <row r="56" customFormat="false" ht="13.45" hidden="false" customHeight="false" outlineLevel="0" collapsed="false">
      <c r="D56" s="1" t="s">
        <v>87</v>
      </c>
      <c r="E56" s="1" t="s">
        <v>78</v>
      </c>
      <c r="F56" s="1" t="s">
        <v>78</v>
      </c>
      <c r="G56" s="12" t="s">
        <v>126</v>
      </c>
      <c r="H56" s="1" t="s">
        <v>127</v>
      </c>
      <c r="I56" s="12" t="s">
        <v>105</v>
      </c>
      <c r="J56" s="1" t="s">
        <v>56</v>
      </c>
      <c r="K56" s="12" t="s">
        <v>108</v>
      </c>
      <c r="L56" s="1" t="s">
        <v>56</v>
      </c>
      <c r="M56" s="1" t="s">
        <v>129</v>
      </c>
      <c r="N56" s="1" t="s">
        <v>56</v>
      </c>
      <c r="O56" s="1" t="s">
        <v>111</v>
      </c>
      <c r="P56" s="1" t="s">
        <v>89</v>
      </c>
    </row>
    <row r="57" customFormat="false" ht="13.45" hidden="false" customHeight="false" outlineLevel="0" collapsed="false">
      <c r="C57" s="1" t="s">
        <v>89</v>
      </c>
    </row>
    <row r="58" customFormat="false" ht="13.45" hidden="false" customHeight="false" outlineLevel="0" collapsed="false">
      <c r="C58" s="1" t="s">
        <v>130</v>
      </c>
    </row>
    <row r="59" customFormat="false" ht="13.45" hidden="false" customHeight="false" outlineLevel="0" collapsed="false">
      <c r="B59" s="1" t="s">
        <v>89</v>
      </c>
    </row>
    <row r="61" customFormat="false" ht="13.45" hidden="false" customHeight="false" outlineLevel="0" collapsed="false">
      <c r="B61" s="1" t="s">
        <v>0</v>
      </c>
      <c r="C61" s="1" t="s">
        <v>131</v>
      </c>
    </row>
    <row r="63" customFormat="false" ht="13.45" hidden="false" customHeight="false" outlineLevel="0" collapsed="false">
      <c r="B63" s="1" t="s">
        <v>119</v>
      </c>
      <c r="C63" s="1" t="s">
        <v>60</v>
      </c>
      <c r="D63" s="1" t="s">
        <v>106</v>
      </c>
    </row>
    <row r="64" customFormat="false" ht="13.45" hidden="false" customHeight="false" outlineLevel="0" collapsed="false">
      <c r="C64" s="1" t="s">
        <v>87</v>
      </c>
      <c r="D64" s="1" t="s">
        <v>103</v>
      </c>
      <c r="E64" s="1" t="s">
        <v>55</v>
      </c>
      <c r="F64" s="12" t="s">
        <v>120</v>
      </c>
      <c r="G64" s="1" t="s">
        <v>99</v>
      </c>
      <c r="H64" s="1" t="s">
        <v>121</v>
      </c>
      <c r="I64" s="1" t="s">
        <v>132</v>
      </c>
    </row>
    <row r="65" customFormat="false" ht="13.45" hidden="false" customHeight="false" outlineLevel="0" collapsed="false">
      <c r="C65" s="1" t="s">
        <v>113</v>
      </c>
      <c r="F65" s="12" t="s">
        <v>120</v>
      </c>
      <c r="G65" s="1" t="s">
        <v>99</v>
      </c>
      <c r="H65" s="1" t="s">
        <v>121</v>
      </c>
      <c r="I65" s="1" t="s">
        <v>133</v>
      </c>
      <c r="J65" s="1" t="s">
        <v>89</v>
      </c>
    </row>
    <row r="66" customFormat="false" ht="13.45" hidden="false" customHeight="false" outlineLevel="0" collapsed="false">
      <c r="C66" s="1" t="s">
        <v>87</v>
      </c>
      <c r="D66" s="1" t="s">
        <v>83</v>
      </c>
    </row>
    <row r="67" customFormat="false" ht="13.45" hidden="false" customHeight="false" outlineLevel="0" collapsed="false">
      <c r="D67" s="1" t="s">
        <v>87</v>
      </c>
      <c r="E67" s="1" t="s">
        <v>78</v>
      </c>
      <c r="F67" s="1" t="s">
        <v>93</v>
      </c>
      <c r="G67" s="12" t="s">
        <v>126</v>
      </c>
      <c r="H67" s="1" t="s">
        <v>127</v>
      </c>
      <c r="I67" s="12" t="s">
        <v>134</v>
      </c>
      <c r="J67" s="1" t="s">
        <v>56</v>
      </c>
      <c r="K67" s="12" t="s">
        <v>123</v>
      </c>
      <c r="P67" s="1" t="s">
        <v>89</v>
      </c>
    </row>
    <row r="68" customFormat="false" ht="13.45" hidden="false" customHeight="false" outlineLevel="0" collapsed="false">
      <c r="D68" s="1" t="s">
        <v>87</v>
      </c>
      <c r="E68" s="1" t="s">
        <v>78</v>
      </c>
      <c r="F68" s="1" t="s">
        <v>95</v>
      </c>
      <c r="G68" s="12" t="s">
        <v>126</v>
      </c>
      <c r="H68" s="1" t="s">
        <v>127</v>
      </c>
      <c r="I68" s="12" t="s">
        <v>123</v>
      </c>
      <c r="J68" s="1" t="s">
        <v>56</v>
      </c>
      <c r="K68" s="12" t="s">
        <v>135</v>
      </c>
      <c r="P68" s="1" t="s">
        <v>89</v>
      </c>
    </row>
    <row r="69" customFormat="false" ht="13.45" hidden="false" customHeight="false" outlineLevel="0" collapsed="false">
      <c r="D69" s="1" t="s">
        <v>87</v>
      </c>
      <c r="E69" s="1" t="s">
        <v>78</v>
      </c>
      <c r="F69" s="1" t="s">
        <v>78</v>
      </c>
      <c r="G69" s="12" t="s">
        <v>126</v>
      </c>
      <c r="H69" s="1" t="s">
        <v>127</v>
      </c>
      <c r="I69" s="12" t="s">
        <v>134</v>
      </c>
      <c r="J69" s="1" t="s">
        <v>56</v>
      </c>
      <c r="K69" s="12" t="s">
        <v>135</v>
      </c>
      <c r="L69" s="1" t="s">
        <v>56</v>
      </c>
      <c r="M69" s="1" t="s">
        <v>128</v>
      </c>
      <c r="N69" s="1" t="s">
        <v>56</v>
      </c>
      <c r="O69" s="1" t="s">
        <v>123</v>
      </c>
      <c r="P69" s="1" t="s">
        <v>89</v>
      </c>
    </row>
    <row r="70" customFormat="false" ht="13.45" hidden="false" customHeight="false" outlineLevel="0" collapsed="false">
      <c r="C70" s="1" t="s">
        <v>113</v>
      </c>
      <c r="G70" s="12"/>
      <c r="I70" s="12"/>
      <c r="K70" s="12"/>
    </row>
    <row r="71" customFormat="false" ht="13.45" hidden="false" customHeight="false" outlineLevel="0" collapsed="false">
      <c r="D71" s="1" t="s">
        <v>87</v>
      </c>
      <c r="E71" s="1" t="s">
        <v>78</v>
      </c>
      <c r="F71" s="1" t="s">
        <v>93</v>
      </c>
      <c r="G71" s="12" t="s">
        <v>126</v>
      </c>
      <c r="H71" s="1" t="s">
        <v>127</v>
      </c>
      <c r="I71" s="12" t="s">
        <v>134</v>
      </c>
      <c r="J71" s="1" t="s">
        <v>56</v>
      </c>
      <c r="K71" s="12" t="s">
        <v>123</v>
      </c>
      <c r="L71" s="12" t="s">
        <v>56</v>
      </c>
      <c r="M71" s="1" t="s">
        <v>129</v>
      </c>
      <c r="P71" s="1" t="s">
        <v>89</v>
      </c>
    </row>
    <row r="72" customFormat="false" ht="13.45" hidden="false" customHeight="false" outlineLevel="0" collapsed="false">
      <c r="D72" s="1" t="s">
        <v>87</v>
      </c>
      <c r="E72" s="1" t="s">
        <v>78</v>
      </c>
      <c r="F72" s="1" t="s">
        <v>95</v>
      </c>
      <c r="G72" s="12" t="s">
        <v>126</v>
      </c>
      <c r="H72" s="1" t="s">
        <v>127</v>
      </c>
      <c r="I72" s="12" t="s">
        <v>123</v>
      </c>
      <c r="J72" s="1" t="s">
        <v>56</v>
      </c>
      <c r="K72" s="12" t="s">
        <v>135</v>
      </c>
      <c r="L72" s="1" t="s">
        <v>56</v>
      </c>
      <c r="M72" s="1" t="s">
        <v>129</v>
      </c>
      <c r="P72" s="1" t="s">
        <v>89</v>
      </c>
    </row>
    <row r="73" customFormat="false" ht="13.45" hidden="false" customHeight="false" outlineLevel="0" collapsed="false">
      <c r="D73" s="1" t="s">
        <v>87</v>
      </c>
      <c r="E73" s="1" t="s">
        <v>78</v>
      </c>
      <c r="F73" s="1" t="s">
        <v>78</v>
      </c>
      <c r="G73" s="12" t="s">
        <v>126</v>
      </c>
      <c r="H73" s="1" t="s">
        <v>127</v>
      </c>
      <c r="I73" s="12" t="s">
        <v>134</v>
      </c>
      <c r="J73" s="1" t="s">
        <v>56</v>
      </c>
      <c r="K73" s="12" t="s">
        <v>135</v>
      </c>
      <c r="L73" s="1" t="s">
        <v>56</v>
      </c>
      <c r="M73" s="1" t="s">
        <v>129</v>
      </c>
      <c r="N73" s="1" t="s">
        <v>56</v>
      </c>
      <c r="O73" s="1" t="s">
        <v>123</v>
      </c>
      <c r="P73" s="1" t="s">
        <v>89</v>
      </c>
    </row>
    <row r="74" customFormat="false" ht="13.45" hidden="false" customHeight="false" outlineLevel="0" collapsed="false">
      <c r="C74" s="1" t="s">
        <v>89</v>
      </c>
    </row>
    <row r="75" customFormat="false" ht="13.45" hidden="false" customHeight="false" outlineLevel="0" collapsed="false">
      <c r="B75" s="1" t="s">
        <v>124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Roman"&amp;12&amp;A</oddHeader>
    <oddFooter>&amp;C&amp;"Times New Roman"&amp;12ページ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1997-01-09T07:48:59Z</dcterms:created>
  <dc:creator/>
  <dc:description/>
  <dc:language>ja-JP</dc:language>
  <cp:lastModifiedBy/>
  <dcterms:modified xsi:type="dcterms:W3CDTF">2026-09-16T23:35:26Z</dcterms:modified>
  <cp:revision>2</cp:revision>
  <dc:subject/>
  <dc:title/>
</cp:coreProperties>
</file>