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gitwork\csvpp\csvpp_manual\"/>
    </mc:Choice>
  </mc:AlternateContent>
  <xr:revisionPtr revIDLastSave="0" documentId="13_ncr:1_{2EBD9E52-187E-49A6-BA22-EBA1CB30B0FD}" xr6:coauthVersionLast="47" xr6:coauthVersionMax="47" xr10:uidLastSave="{00000000-0000-0000-0000-000000000000}"/>
  <bookViews>
    <workbookView xWindow="1200" yWindow="1065" windowWidth="26205" windowHeight="14415" tabRatio="858" activeTab="5" xr2:uid="{FC99C8AF-63B4-410E-82B8-E83A41F43691}"/>
  </bookViews>
  <sheets>
    <sheet name="目次" sheetId="45" r:id="rId1"/>
    <sheet name="概要" sheetId="48" r:id="rId2"/>
    <sheet name="コマンドリファレンス" sheetId="49" r:id="rId3"/>
    <sheet name="サンプル" sheetId="50" r:id="rId4"/>
    <sheet name="エラーメッセージ" sheetId="51" r:id="rId5"/>
    <sheet name="work" sheetId="30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9" i="50" l="1"/>
  <c r="F189" i="50"/>
  <c r="E189" i="50"/>
  <c r="F79" i="50"/>
  <c r="C79" i="50"/>
  <c r="F78" i="50"/>
  <c r="C78" i="50"/>
  <c r="D31" i="50"/>
</calcChain>
</file>

<file path=xl/sharedStrings.xml><?xml version="1.0" encoding="utf-8"?>
<sst xmlns="http://schemas.openxmlformats.org/spreadsheetml/2006/main" count="1178" uniqueCount="618">
  <si>
    <t>%shell</t>
  </si>
  <si>
    <t>#st</t>
  </si>
  <si>
    <t>#if</t>
  </si>
  <si>
    <t>#endif</t>
  </si>
  <si>
    <t>#else</t>
  </si>
  <si>
    <t>状態名</t>
  </si>
  <si>
    <t>#go</t>
  </si>
  <si>
    <t>#act</t>
  </si>
  <si>
    <t>#stop</t>
  </si>
  <si>
    <t>#chg</t>
  </si>
  <si>
    <t>#go</t>
    <phoneticPr fontId="1"/>
  </si>
  <si>
    <t>#endif</t>
    <phoneticPr fontId="1"/>
  </si>
  <si>
    <t>#if</t>
    <phoneticPr fontId="1"/>
  </si>
  <si>
    <t>#chg</t>
    <phoneticPr fontId="1"/>
  </si>
  <si>
    <t>%exec</t>
  </si>
  <si>
    <t>メッセージ</t>
  </si>
  <si>
    <t>なし</t>
  </si>
  <si>
    <t>目次</t>
    <rPh sb="0" eb="2">
      <t>モクジ</t>
    </rPh>
    <phoneticPr fontId="1"/>
  </si>
  <si>
    <t>#header</t>
  </si>
  <si>
    <t>//</t>
    <phoneticPr fontId="1"/>
  </si>
  <si>
    <t>%include</t>
    <phoneticPr fontId="1"/>
  </si>
  <si>
    <t>//</t>
  </si>
  <si>
    <t>csvveri_C</t>
  </si>
  <si>
    <t>csvveri</t>
  </si>
  <si>
    <t>model</t>
    <phoneticPr fontId="1"/>
  </si>
  <si>
    <t>クロック</t>
    <phoneticPr fontId="1"/>
  </si>
  <si>
    <t>モデルとテストベンチの接続</t>
    <rPh sb="11" eb="13">
      <t>セツゾク</t>
    </rPh>
    <phoneticPr fontId="1"/>
  </si>
  <si>
    <t>#module</t>
  </si>
  <si>
    <t>%header</t>
    <phoneticPr fontId="1"/>
  </si>
  <si>
    <t>リセット、クロック</t>
    <phoneticPr fontId="1"/>
  </si>
  <si>
    <t>%port</t>
    <phoneticPr fontId="1"/>
  </si>
  <si>
    <t>clk</t>
    <phoneticPr fontId="1"/>
  </si>
  <si>
    <t>input</t>
  </si>
  <si>
    <t>リセット</t>
    <phoneticPr fontId="1"/>
  </si>
  <si>
    <t>cs</t>
    <phoneticPr fontId="1"/>
  </si>
  <si>
    <t>セレクト</t>
    <phoneticPr fontId="1"/>
  </si>
  <si>
    <t>ad</t>
    <phoneticPr fontId="1"/>
  </si>
  <si>
    <t>アドレス／データ</t>
    <phoneticPr fontId="1"/>
  </si>
  <si>
    <t>ack</t>
    <phoneticPr fontId="1"/>
  </si>
  <si>
    <t>1</t>
    <phoneticPr fontId="1"/>
  </si>
  <si>
    <t>reg</t>
    <phoneticPr fontId="1"/>
  </si>
  <si>
    <t>応答</t>
    <rPh sb="0" eb="2">
      <t>オウトウ</t>
    </rPh>
    <phoneticPr fontId="1"/>
  </si>
  <si>
    <t>B Side Interface</t>
    <phoneticPr fontId="1"/>
  </si>
  <si>
    <t>cs_o</t>
    <phoneticPr fontId="1"/>
  </si>
  <si>
    <t>add</t>
    <phoneticPr fontId="1"/>
  </si>
  <si>
    <t>アドレス</t>
    <phoneticPr fontId="1"/>
  </si>
  <si>
    <t>data</t>
    <phoneticPr fontId="1"/>
  </si>
  <si>
    <t>データ</t>
    <phoneticPr fontId="1"/>
  </si>
  <si>
    <t>ack_i</t>
    <phoneticPr fontId="1"/>
  </si>
  <si>
    <t>レジスタ</t>
    <phoneticPr fontId="1"/>
  </si>
  <si>
    <t>#reg</t>
    <phoneticPr fontId="1"/>
  </si>
  <si>
    <t>add_fp</t>
    <phoneticPr fontId="1"/>
  </si>
  <si>
    <t>32</t>
    <phoneticPr fontId="1"/>
  </si>
  <si>
    <t>#st</t>
    <phoneticPr fontId="1"/>
  </si>
  <si>
    <t>ポート定義</t>
    <rPh sb="3" eb="5">
      <t>テイギ</t>
    </rPh>
    <phoneticPr fontId="1"/>
  </si>
  <si>
    <t>model用</t>
    <rPh sb="5" eb="6">
      <t>ヨウ</t>
    </rPh>
    <phoneticPr fontId="1"/>
  </si>
  <si>
    <t>テストベンチ用</t>
    <rPh sb="6" eb="7">
      <t>ヨウ</t>
    </rPh>
    <phoneticPr fontId="1"/>
  </si>
  <si>
    <t>クロック名</t>
    <rPh sb="4" eb="5">
      <t>メイ</t>
    </rPh>
    <phoneticPr fontId="1"/>
  </si>
  <si>
    <t>周期</t>
    <rPh sb="0" eb="2">
      <t>シュウキ</t>
    </rPh>
    <phoneticPr fontId="1"/>
  </si>
  <si>
    <t>変化位置１</t>
    <rPh sb="0" eb="2">
      <t>ヘンカ</t>
    </rPh>
    <rPh sb="2" eb="4">
      <t>イチ</t>
    </rPh>
    <phoneticPr fontId="1"/>
  </si>
  <si>
    <t>変化位置2</t>
    <rPh sb="0" eb="2">
      <t>ヘンカ</t>
    </rPh>
    <rPh sb="2" eb="4">
      <t>イチ</t>
    </rPh>
    <phoneticPr fontId="1"/>
  </si>
  <si>
    <t>初期値</t>
    <rPh sb="0" eb="3">
      <t>ショキチ</t>
    </rPh>
    <phoneticPr fontId="1"/>
  </si>
  <si>
    <t>アサイン信号名</t>
    <rPh sb="4" eb="7">
      <t>シンゴウメイ</t>
    </rPh>
    <phoneticPr fontId="1"/>
  </si>
  <si>
    <t>#clk</t>
  </si>
  <si>
    <t>clko</t>
    <phoneticPr fontId="1"/>
  </si>
  <si>
    <t>#module</t>
    <phoneticPr fontId="1"/>
  </si>
  <si>
    <t>main</t>
    <phoneticPr fontId="1"/>
  </si>
  <si>
    <t>test_port.csv</t>
    <phoneticPr fontId="1"/>
  </si>
  <si>
    <t>#wr</t>
    <phoneticPr fontId="1"/>
  </si>
  <si>
    <t>`include "test.v"</t>
    <phoneticPr fontId="1"/>
  </si>
  <si>
    <t>address</t>
    <phoneticPr fontId="1"/>
  </si>
  <si>
    <t>%acc</t>
  </si>
  <si>
    <t>32'haaaaaaaa</t>
    <phoneticPr fontId="1"/>
  </si>
  <si>
    <t>32'hdddddddd</t>
    <phoneticPr fontId="1"/>
  </si>
  <si>
    <t>32'h55555555</t>
    <phoneticPr fontId="1"/>
  </si>
  <si>
    <t>32'h33333333</t>
    <phoneticPr fontId="1"/>
  </si>
  <si>
    <t>32'hffffffff</t>
    <phoneticPr fontId="1"/>
  </si>
  <si>
    <t>32'h00000000</t>
    <phoneticPr fontId="1"/>
  </si>
  <si>
    <t>32'h12345678</t>
    <phoneticPr fontId="1"/>
  </si>
  <si>
    <t>32'h87654321</t>
    <phoneticPr fontId="1"/>
  </si>
  <si>
    <t>cnt</t>
    <phoneticPr fontId="1"/>
  </si>
  <si>
    <t>%acc_renzoku</t>
    <phoneticPr fontId="1"/>
  </si>
  <si>
    <t>テストシナリオからこのテストベンチをインクルードするのでモジュール定義しない</t>
    <rPh sb="33" eb="35">
      <t>テイギ</t>
    </rPh>
    <phoneticPr fontId="1"/>
  </si>
  <si>
    <t>#chgtrap</t>
    <phoneticPr fontId="1"/>
  </si>
  <si>
    <t>#chgmax</t>
    <phoneticPr fontId="1"/>
  </si>
  <si>
    <t>パラメータとして使う変数の指定</t>
    <rPh sb="8" eb="9">
      <t>ツカ</t>
    </rPh>
    <rPh sb="10" eb="12">
      <t>ヘンスウ</t>
    </rPh>
    <rPh sb="13" eb="15">
      <t>シテイ</t>
    </rPh>
    <phoneticPr fontId="1"/>
  </si>
  <si>
    <t>#patern</t>
    <phoneticPr fontId="1"/>
  </si>
  <si>
    <t>a_parm</t>
    <phoneticPr fontId="1"/>
  </si>
  <si>
    <t>#arymax</t>
    <phoneticPr fontId="1"/>
  </si>
  <si>
    <t>パターン総数</t>
    <rPh sb="4" eb="6">
      <t>ソウスウ</t>
    </rPh>
    <phoneticPr fontId="1"/>
  </si>
  <si>
    <t>#var</t>
    <phoneticPr fontId="1"/>
  </si>
  <si>
    <t>a_add</t>
    <phoneticPr fontId="1"/>
  </si>
  <si>
    <t>a_data</t>
    <phoneticPr fontId="1"/>
  </si>
  <si>
    <t>a_tim</t>
    <phoneticPr fontId="1"/>
  </si>
  <si>
    <t>データ出力タイミング</t>
    <rPh sb="3" eb="5">
      <t>シュツリョク</t>
    </rPh>
    <phoneticPr fontId="1"/>
  </si>
  <si>
    <t>b_parm</t>
    <phoneticPr fontId="1"/>
  </si>
  <si>
    <t>b_tim</t>
    <phoneticPr fontId="1"/>
  </si>
  <si>
    <t>ack_i返送タイミング</t>
    <rPh sb="5" eb="7">
      <t>ヘンソウ</t>
    </rPh>
    <phoneticPr fontId="1"/>
  </si>
  <si>
    <t>初期処理</t>
    <rPh sb="0" eb="2">
      <t>ショキ</t>
    </rPh>
    <rPh sb="2" eb="4">
      <t>ショリ</t>
    </rPh>
    <phoneticPr fontId="1"/>
  </si>
  <si>
    <t>#sp0</t>
    <phoneticPr fontId="1"/>
  </si>
  <si>
    <t>// # Top Initialize ######################</t>
    <phoneticPr fontId="1"/>
  </si>
  <si>
    <t>#sp+</t>
    <phoneticPr fontId="1"/>
  </si>
  <si>
    <t>initial begin</t>
    <phoneticPr fontId="1"/>
  </si>
  <si>
    <t>#10</t>
    <phoneticPr fontId="1"/>
  </si>
  <si>
    <t>$$display("initialize\n");</t>
  </si>
  <si>
    <t>信号の初期化</t>
    <rPh sb="0" eb="2">
      <t>シンゴウ</t>
    </rPh>
    <rPh sb="3" eb="6">
      <t>ショキカ</t>
    </rPh>
    <phoneticPr fontId="1"/>
  </si>
  <si>
    <t>reset_n=1'b0;</t>
    <phoneticPr fontId="1"/>
  </si>
  <si>
    <t>cs = 1'b1;</t>
    <phoneticPr fontId="1"/>
  </si>
  <si>
    <t>ad = 32'hzzzzzzzz;</t>
    <phoneticPr fontId="1"/>
  </si>
  <si>
    <t>ack_i = 1'b1;</t>
    <phoneticPr fontId="1"/>
  </si>
  <si>
    <t>#100000</t>
    <phoneticPr fontId="1"/>
  </si>
  <si>
    <t>reset_n =1'b1;</t>
    <phoneticPr fontId="1"/>
  </si>
  <si>
    <t>テストベンチ起動</t>
    <rPh sb="6" eb="8">
      <t>キドウ</t>
    </rPh>
    <phoneticPr fontId="1"/>
  </si>
  <si>
    <t>test_a_rst;</t>
    <phoneticPr fontId="1"/>
  </si>
  <si>
    <t>test_b_rst;</t>
    <phoneticPr fontId="1"/>
  </si>
  <si>
    <t>$$display("initialize end\n");</t>
    <phoneticPr fontId="1"/>
  </si>
  <si>
    <t>#sp-</t>
    <phoneticPr fontId="1"/>
  </si>
  <si>
    <t>end</t>
    <phoneticPr fontId="1"/>
  </si>
  <si>
    <t>test_aステートマシン</t>
    <phoneticPr fontId="1"/>
  </si>
  <si>
    <t>#status</t>
  </si>
  <si>
    <t>test_a</t>
    <phoneticPr fontId="1"/>
  </si>
  <si>
    <t>#slocal</t>
    <phoneticPr fontId="1"/>
  </si>
  <si>
    <t>0</t>
    <phoneticPr fontId="1"/>
  </si>
  <si>
    <t>asrt</t>
    <phoneticPr fontId="1"/>
  </si>
  <si>
    <t>信号アサート（初期状態）</t>
    <rPh sb="0" eb="2">
      <t>シンゴウ</t>
    </rPh>
    <rPh sb="7" eb="11">
      <t>ショキジョウタイ</t>
    </rPh>
    <phoneticPr fontId="1"/>
  </si>
  <si>
    <t>#cmd</t>
    <phoneticPr fontId="1"/>
  </si>
  <si>
    <t>a_parm_get;</t>
    <phoneticPr fontId="1"/>
  </si>
  <si>
    <t>a_parmパラメータゲット</t>
    <phoneticPr fontId="1"/>
  </si>
  <si>
    <t>0:1'b0</t>
    <phoneticPr fontId="1"/>
  </si>
  <si>
    <t>1:1'b1</t>
    <phoneticPr fontId="1"/>
  </si>
  <si>
    <t>0:a_add</t>
    <phoneticPr fontId="1"/>
  </si>
  <si>
    <t>1:a_data</t>
    <phoneticPr fontId="1"/>
  </si>
  <si>
    <t>@Lcnt = 0;</t>
    <phoneticPr fontId="1"/>
  </si>
  <si>
    <t>ack_wait</t>
    <phoneticPr fontId="1"/>
  </si>
  <si>
    <t>ＡＣＫ待ち</t>
    <rPh sb="3" eb="4">
      <t>マ</t>
    </rPh>
    <phoneticPr fontId="1"/>
  </si>
  <si>
    <t>ack == 1'b0</t>
    <phoneticPr fontId="1"/>
  </si>
  <si>
    <t>a_tim == 0</t>
    <phoneticPr fontId="1"/>
  </si>
  <si>
    <t>#xelse</t>
    <phoneticPr fontId="1"/>
  </si>
  <si>
    <t>acc_wait</t>
    <phoneticPr fontId="1"/>
  </si>
  <si>
    <t>アクセス間隔ウエイト</t>
    <rPh sb="4" eb="6">
      <t>カンカク</t>
    </rPh>
    <phoneticPr fontId="1"/>
  </si>
  <si>
    <t>@Lcnt == a_tim-1</t>
    <phoneticPr fontId="1"/>
  </si>
  <si>
    <t>@Lcnt = @Lcnt + 1;</t>
    <phoneticPr fontId="1"/>
  </si>
  <si>
    <t>test_bステートマシン</t>
    <phoneticPr fontId="1"/>
  </si>
  <si>
    <t>test_b</t>
    <phoneticPr fontId="1"/>
  </si>
  <si>
    <t>ＡＣＫ待ち（初期状態）</t>
    <rPh sb="6" eb="10">
      <t>ショキジョウタイ</t>
    </rPh>
    <phoneticPr fontId="1"/>
  </si>
  <si>
    <t>cs_o == 1'b0</t>
    <phoneticPr fontId="1"/>
  </si>
  <si>
    <t>b_parm_get;</t>
    <phoneticPr fontId="1"/>
  </si>
  <si>
    <t>b_parmパラメータゲット</t>
    <phoneticPr fontId="1"/>
  </si>
  <si>
    <t>wait</t>
    <phoneticPr fontId="1"/>
  </si>
  <si>
    <t>ウエイト</t>
    <phoneticPr fontId="1"/>
  </si>
  <si>
    <t>@Lcnt == b_tim</t>
    <phoneticPr fontId="1"/>
  </si>
  <si>
    <t>1:'b1</t>
    <phoneticPr fontId="1"/>
  </si>
  <si>
    <t>$$display($$time,":address=%x  data=%x",add,data);</t>
    <phoneticPr fontId="1"/>
  </si>
  <si>
    <t>#else</t>
    <phoneticPr fontId="1"/>
  </si>
  <si>
    <t>top</t>
    <phoneticPr fontId="1"/>
  </si>
  <si>
    <t>接続リスト</t>
    <rPh sb="0" eb="2">
      <t>セツゾク</t>
    </rPh>
    <phoneticPr fontId="1"/>
  </si>
  <si>
    <t>#con_head</t>
    <phoneticPr fontId="1"/>
  </si>
  <si>
    <t>#define</t>
    <phoneticPr fontId="1"/>
  </si>
  <si>
    <t>#line</t>
    <phoneticPr fontId="1"/>
  </si>
  <si>
    <t>#con_mod</t>
    <phoneticPr fontId="1"/>
  </si>
  <si>
    <t>#con</t>
    <phoneticPr fontId="1"/>
  </si>
  <si>
    <t>$$dumpfile("c:\csv\aaa.dump");</t>
    <phoneticPr fontId="1"/>
  </si>
  <si>
    <t>$$dumpvars(1,i_model);</t>
    <phoneticPr fontId="1"/>
  </si>
  <si>
    <t>$$dumpvars(1,i_main);</t>
    <phoneticPr fontId="1"/>
  </si>
  <si>
    <t>%class</t>
    <phoneticPr fontId="1"/>
  </si>
  <si>
    <t>%st</t>
    <phoneticPr fontId="1"/>
  </si>
  <si>
    <t>別名定義</t>
    <rPh sb="0" eb="2">
      <t>ベツメイ</t>
    </rPh>
    <rPh sb="2" eb="4">
      <t>テイギ</t>
    </rPh>
    <phoneticPr fontId="1"/>
  </si>
  <si>
    <t>%alias</t>
    <phoneticPr fontId="1"/>
  </si>
  <si>
    <t>%%acc</t>
    <phoneticPr fontId="1"/>
  </si>
  <si>
    <t>%%do</t>
    <phoneticPr fontId="1"/>
  </si>
  <si>
    <t>acc</t>
  </si>
  <si>
    <t>%%acc_renzoku</t>
    <phoneticPr fontId="1"/>
  </si>
  <si>
    <t>acc_renzoku</t>
  </si>
  <si>
    <t>%%port</t>
    <phoneticPr fontId="1"/>
  </si>
  <si>
    <t>port_define</t>
    <phoneticPr fontId="1"/>
  </si>
  <si>
    <t>%%header</t>
    <phoneticPr fontId="1"/>
  </si>
  <si>
    <t>header</t>
    <phoneticPr fontId="1"/>
  </si>
  <si>
    <t>~csvveri_C</t>
  </si>
  <si>
    <t>accマクロ</t>
    <phoneticPr fontId="1"/>
  </si>
  <si>
    <t>%argdefchk</t>
    <phoneticPr fontId="1"/>
  </si>
  <si>
    <t>%rand</t>
    <phoneticPr fontId="1"/>
  </si>
  <si>
    <t>#p_patern</t>
    <phoneticPr fontId="1"/>
  </si>
  <si>
    <t>#set</t>
  </si>
  <si>
    <t>$a_add$</t>
    <phoneticPr fontId="1"/>
  </si>
  <si>
    <t>$a_data$</t>
    <phoneticPr fontId="1"/>
  </si>
  <si>
    <t>$a_tim$</t>
    <phoneticPr fontId="1"/>
  </si>
  <si>
    <t>$b_tim$</t>
    <phoneticPr fontId="1"/>
  </si>
  <si>
    <t>acc_renzoku マクロ</t>
    <phoneticPr fontId="1"/>
  </si>
  <si>
    <t>acc_renzoku</t>
    <phoneticPr fontId="1"/>
  </si>
  <si>
    <t>%for</t>
    <phoneticPr fontId="1"/>
  </si>
  <si>
    <t>i</t>
    <phoneticPr fontId="1"/>
  </si>
  <si>
    <t>$cnt$</t>
    <phoneticPr fontId="1"/>
  </si>
  <si>
    <t>add_h</t>
    <phoneticPr fontId="1"/>
  </si>
  <si>
    <t>'hFFFF</t>
    <phoneticPr fontId="1"/>
  </si>
  <si>
    <t>add_l</t>
    <phoneticPr fontId="1"/>
  </si>
  <si>
    <t>data_h</t>
    <phoneticPr fontId="1"/>
  </si>
  <si>
    <t>data_l</t>
    <phoneticPr fontId="1"/>
  </si>
  <si>
    <t>%do</t>
    <phoneticPr fontId="1"/>
  </si>
  <si>
    <t>acc</t>
    <phoneticPr fontId="1"/>
  </si>
  <si>
    <t>32'h$#%04x#add_h$$#%04x#add_l$</t>
    <phoneticPr fontId="1"/>
  </si>
  <si>
    <t>32'h$#%04x#data_h$$#%04x#data_l$</t>
    <phoneticPr fontId="1"/>
  </si>
  <si>
    <t>%endfor</t>
    <phoneticPr fontId="1"/>
  </si>
  <si>
    <t>ポート宣言</t>
    <rPh sb="3" eb="5">
      <t>センゲン</t>
    </rPh>
    <phoneticPr fontId="1"/>
  </si>
  <si>
    <t>%var</t>
    <phoneticPr fontId="1"/>
  </si>
  <si>
    <t>line</t>
    <phoneticPr fontId="1"/>
  </si>
  <si>
    <t>io</t>
    <phoneticPr fontId="1"/>
  </si>
  <si>
    <t>size</t>
    <phoneticPr fontId="1"/>
  </si>
  <si>
    <t>kbn</t>
    <phoneticPr fontId="1"/>
  </si>
  <si>
    <t>parm</t>
    <phoneticPr fontId="1"/>
  </si>
  <si>
    <t>$argc$</t>
    <phoneticPr fontId="1"/>
  </si>
  <si>
    <t>%aryrd</t>
    <phoneticPr fontId="1"/>
  </si>
  <si>
    <t>argv</t>
    <phoneticPr fontId="1"/>
  </si>
  <si>
    <t>$i$</t>
    <phoneticPr fontId="1"/>
  </si>
  <si>
    <t>%if</t>
    <phoneticPr fontId="1"/>
  </si>
  <si>
    <t>$argv$</t>
    <phoneticPr fontId="1"/>
  </si>
  <si>
    <t>%continue</t>
    <phoneticPr fontId="1"/>
  </si>
  <si>
    <t>%endif</t>
    <phoneticPr fontId="1"/>
  </si>
  <si>
    <t>%set</t>
    <phoneticPr fontId="1"/>
  </si>
  <si>
    <t>%arywr</t>
    <phoneticPr fontId="1"/>
  </si>
  <si>
    <t>$#%02d#cnt+1$</t>
    <phoneticPr fontId="1"/>
  </si>
  <si>
    <t>#$io$</t>
    <phoneticPr fontId="1"/>
  </si>
  <si>
    <t>$line$</t>
    <phoneticPr fontId="1"/>
  </si>
  <si>
    <t>%noif</t>
    <phoneticPr fontId="1"/>
  </si>
  <si>
    <t>input</t>
    <phoneticPr fontId="1"/>
  </si>
  <si>
    <t>#wire</t>
    <phoneticPr fontId="1"/>
  </si>
  <si>
    <t>$size$</t>
    <phoneticPr fontId="1"/>
  </si>
  <si>
    <t>$%parm</t>
    <phoneticPr fontId="1"/>
  </si>
  <si>
    <t>%else</t>
    <phoneticPr fontId="1"/>
  </si>
  <si>
    <t>#$kbn$</t>
    <phoneticPr fontId="1"/>
  </si>
  <si>
    <t>ヘッダ</t>
    <phoneticPr fontId="1"/>
  </si>
  <si>
    <t>%argdef</t>
    <phoneticPr fontId="1"/>
  </si>
  <si>
    <t>func</t>
    <phoneticPr fontId="1"/>
  </si>
  <si>
    <t>mod</t>
    <phoneticPr fontId="1"/>
  </si>
  <si>
    <t>ver</t>
    <phoneticPr fontId="1"/>
  </si>
  <si>
    <t>name</t>
    <phoneticPr fontId="1"/>
  </si>
  <si>
    <t>#header</t>
    <phoneticPr fontId="1"/>
  </si>
  <si>
    <t>########################################################################</t>
    <phoneticPr fontId="1"/>
  </si>
  <si>
    <t>FunctionName : $func$</t>
    <phoneticPr fontId="1"/>
  </si>
  <si>
    <t>File    Name : $mod$.v</t>
    <phoneticPr fontId="1"/>
  </si>
  <si>
    <t>Module  Name : $mod$</t>
    <phoneticPr fontId="1"/>
  </si>
  <si>
    <t>Version      : $ver$</t>
    <phoneticPr fontId="1"/>
  </si>
  <si>
    <t>Author       : $name$</t>
    <phoneticPr fontId="1"/>
  </si>
  <si>
    <t>#wire_reg</t>
  </si>
  <si>
    <t>#default_net</t>
  </si>
  <si>
    <t>#wire_type</t>
  </si>
  <si>
    <t>パラメータ名</t>
  </si>
  <si>
    <t>#rstatus</t>
    <phoneticPr fontId="1"/>
  </si>
  <si>
    <t>#reg_type</t>
  </si>
  <si>
    <t>#task</t>
  </si>
  <si>
    <t>#taskn</t>
  </si>
  <si>
    <t>#taskx</t>
  </si>
  <si>
    <t>#tcmd</t>
  </si>
  <si>
    <t>#tchg</t>
  </si>
  <si>
    <t>#tparm</t>
  </si>
  <si>
    <t>#tlocal</t>
  </si>
  <si>
    <t>#tdiff</t>
  </si>
  <si>
    <t>#tdiffplus</t>
  </si>
  <si>
    <t>#readmemh</t>
  </si>
  <si>
    <t>E000</t>
  </si>
  <si>
    <t>syntax error</t>
  </si>
  <si>
    <t>E001</t>
  </si>
  <si>
    <t>state machine multiple define</t>
  </si>
  <si>
    <t>E002</t>
  </si>
  <si>
    <t>register multiple define</t>
  </si>
  <si>
    <t>E003</t>
  </si>
  <si>
    <t>undefine #status</t>
  </si>
  <si>
    <t>E004</t>
  </si>
  <si>
    <t>state multiple define</t>
  </si>
  <si>
    <t>E005</t>
  </si>
  <si>
    <t>undefine #if/#else - #endif combination error or undefine #st</t>
  </si>
  <si>
    <t>E006</t>
  </si>
  <si>
    <t>E007</t>
  </si>
  <si>
    <t>E008</t>
  </si>
  <si>
    <t>wire multiple define</t>
  </si>
  <si>
    <t>E020</t>
  </si>
  <si>
    <t>undefine #sub</t>
  </si>
  <si>
    <t>E030</t>
  </si>
  <si>
    <t>undefine #function</t>
  </si>
  <si>
    <t>undefine #gate</t>
  </si>
  <si>
    <t>port unmatch</t>
  </si>
  <si>
    <t>undefine #define</t>
  </si>
  <si>
    <t>E051</t>
  </si>
  <si>
    <t>undefine #line</t>
  </si>
  <si>
    <t>E052</t>
  </si>
  <si>
    <t>header undefine</t>
  </si>
  <si>
    <t>E053</t>
  </si>
  <si>
    <t>undefine #con_head</t>
  </si>
  <si>
    <t>E054</t>
  </si>
  <si>
    <t>module undefine</t>
  </si>
  <si>
    <t>E055</t>
  </si>
  <si>
    <t>instance multiple define</t>
  </si>
  <si>
    <t>E070</t>
  </si>
  <si>
    <t>clock multiple define</t>
  </si>
  <si>
    <t>E080</t>
  </si>
  <si>
    <t>E081</t>
  </si>
  <si>
    <t>E090</t>
  </si>
  <si>
    <t>undefine #struct or #extend or #module</t>
  </si>
  <si>
    <t>state machine undefine</t>
  </si>
  <si>
    <t>undefine #wire</t>
  </si>
  <si>
    <t>CSV-Verilog Maker II は Excelで設計する Verilog HDL のエントリツールです。</t>
  </si>
  <si>
    <t>通常の Verilog 記述よりも 数倍速く設計できる高速開発環境を提供します。</t>
  </si>
  <si>
    <t>Excelで回路を記述できるため、第三者にも理解しやすい</t>
  </si>
  <si>
    <t>流用性が高く、設計資産として再利用しやすい</t>
  </si>
  <si>
    <t>Verilog の構造を表形式で管理できるため、ミスが減り品質が向上する</t>
  </si>
  <si>
    <t>csvveri は csvpp を前提として設計されており、csvpp のコマンドがそのまま使用可能</t>
  </si>
  <si>
    <t>・条件分岐</t>
  </si>
  <si>
    <t>・ループ</t>
  </si>
  <si>
    <t>・マクロ展開</t>
  </si>
  <si>
    <t>・自動生成ロジック</t>
  </si>
  <si>
    <t>など、強力なコード生成機能を Verilog 設計に取り込める</t>
  </si>
  <si>
    <t>設計スピードが飛躍的に向上</t>
  </si>
  <si>
    <t>Excelベースのため、レビュー・共有が容易</t>
  </si>
  <si>
    <t>複雑な Verilog 記述をテンプレート化し、自動生成できる</t>
  </si>
  <si>
    <t>csvpp の強力なプリプロセッサ機能を活用可能</t>
  </si>
  <si>
    <t>1. CSV-Verilog Maker II とは</t>
    <phoneticPr fontId="1"/>
  </si>
  <si>
    <t>2. 特徴</t>
    <phoneticPr fontId="1"/>
  </si>
  <si>
    <t>3. メリット</t>
    <phoneticPr fontId="1"/>
  </si>
  <si>
    <t>CSV-Verilog Maker II 概要</t>
  </si>
  <si>
    <t>1. 各種定義コマンド</t>
  </si>
  <si>
    <t>コマンドリファレンス</t>
  </si>
  <si>
    <t>制御子</t>
  </si>
  <si>
    <t>パラメータ</t>
  </si>
  <si>
    <t>説明</t>
  </si>
  <si>
    <t>ヘッダ内容…</t>
  </si>
  <si>
    <t>ファイルヘッダの指定</t>
  </si>
  <si>
    <t>モジュール名</t>
  </si>
  <si>
    <t>モジュール定義</t>
  </si>
  <si>
    <t>#input</t>
  </si>
  <si>
    <t>信号名…</t>
  </si>
  <si>
    <t>入力ポート定義</t>
  </si>
  <si>
    <t>#output</t>
  </si>
  <si>
    <t>出力ポート定義</t>
  </si>
  <si>
    <t>#inout</t>
  </si>
  <si>
    <t>入出力ポート定義</t>
  </si>
  <si>
    <t>#parameter</t>
  </si>
  <si>
    <t>パラメータ名, パラメータ値…</t>
  </si>
  <si>
    <t>パラメータ指定</t>
  </si>
  <si>
    <t>#wire</t>
  </si>
  <si>
    <t>ネット名, バス幅, アサイン式…</t>
  </si>
  <si>
    <t>ワイヤ定義（AND/OR式）</t>
  </si>
  <si>
    <t>#wire_o</t>
  </si>
  <si>
    <t>ネット名, バス幅, 条件式:代入式…</t>
  </si>
  <si>
    <t>ワイヤ定義（if/elseif式）</t>
  </si>
  <si>
    <t>#reg</t>
  </si>
  <si>
    <t>レジスタ名, バス幅, 動作クロック, 条件式:代入式…</t>
  </si>
  <si>
    <t>レジスタ定義（クロック以降省略可）</t>
  </si>
  <si>
    <t>#reg_body</t>
  </si>
  <si>
    <t>レジスタ名, 条件式:代入式…</t>
  </si>
  <si>
    <t>レジスタ動作の追加定義</t>
  </si>
  <si>
    <t>#reg_andor</t>
  </si>
  <si>
    <t>レジスタ名, デフォルト値</t>
  </si>
  <si>
    <t>レジスタ右辺を AND/OR 形式に変更</t>
  </si>
  <si>
    <t>レジスタ名/ネット名, バス幅, 動作クロック, 条件式… # アサイン式…</t>
  </si>
  <si>
    <t>ワイヤ＋レジスタ定義</t>
  </si>
  <si>
    <t>#delay</t>
  </si>
  <si>
    <t>ネット名, #遅延値</t>
  </si>
  <si>
    <t>遅延付加</t>
  </si>
  <si>
    <t>#wire_attr</t>
  </si>
  <si>
    <t>ネット名, tri0/tri1</t>
  </si>
  <si>
    <t>tri0/tri1 属性付加</t>
  </si>
  <si>
    <t>2. 構造記述コマンド</t>
  </si>
  <si>
    <t>#gate</t>
  </si>
  <si>
    <t>モジュール名, ポート名… # ポート名…</t>
  </si>
  <si>
    <t>構造記述定義</t>
  </si>
  <si>
    <t>#net</t>
  </si>
  <si>
    <t>モジュール名, ネット名… # ネット名…</t>
  </si>
  <si>
    <t>構造記述</t>
  </si>
  <si>
    <t>#gate_inst</t>
  </si>
  <si>
    <t>インスタンス名</t>
  </si>
  <si>
    <t>インスタンス名の一時変更</t>
  </si>
  <si>
    <t>3. モジュール間接続表</t>
  </si>
  <si>
    <t>#con_head</t>
  </si>
  <si>
    <t>#define, #line, インスタンス名…</t>
  </si>
  <si>
    <t>コネクションリスト定義1</t>
  </si>
  <si>
    <t>#con_mod</t>
  </si>
  <si>
    <t>モジュール名…</t>
  </si>
  <si>
    <t>コネクションリスト定義2</t>
  </si>
  <si>
    <t>#con</t>
  </si>
  <si>
    <t>ポート名…</t>
  </si>
  <si>
    <t>コネクションリスト</t>
  </si>
  <si>
    <t>デフォルトネット名</t>
  </si>
  <si>
    <t>デフォルトネット名の定義</t>
  </si>
  <si>
    <t>定義名</t>
  </si>
  <si>
    <t>wire の代わりに bit/logic を使用</t>
  </si>
  <si>
    <t>4. タスク・関数</t>
  </si>
  <si>
    <t>#function_direct</t>
  </si>
  <si>
    <t>ディレクティブ…</t>
  </si>
  <si>
    <t>合成ディレクティブ定義</t>
  </si>
  <si>
    <t>#function_case</t>
  </si>
  <si>
    <t>casex/casez</t>
  </si>
  <si>
    <t>casex/casez を使用</t>
  </si>
  <si>
    <t>#function</t>
  </si>
  <si>
    <t>入力信号…, 関数名…</t>
  </si>
  <si>
    <t>関数定義</t>
  </si>
  <si>
    <t>#ftable</t>
  </si>
  <si>
    <t>入力パタン…, 出力値…</t>
  </si>
  <si>
    <t>関数パタン</t>
  </si>
  <si>
    <t>#sub</t>
  </si>
  <si>
    <t>関数名, 戻り値</t>
  </si>
  <si>
    <t>関数名</t>
  </si>
  <si>
    <t>タスク定義</t>
  </si>
  <si>
    <t>5. Verilog直書き</t>
  </si>
  <si>
    <t>#wr</t>
  </si>
  <si>
    <t>命令1～命令n</t>
  </si>
  <si>
    <t>Verilogそのまま出力</t>
  </si>
  <si>
    <t>#body</t>
  </si>
  <si>
    <t>モジュール外に Verilog 出力</t>
  </si>
  <si>
    <t>#sp0</t>
  </si>
  <si>
    <t>カラム位置を 0 にする</t>
  </si>
  <si>
    <t>#sp+</t>
  </si>
  <si>
    <t>カラム位置を +2</t>
  </si>
  <si>
    <t>#sp-</t>
  </si>
  <si>
    <t>カラム位置を -2</t>
  </si>
  <si>
    <t>6. クロック定義（テストベンチ）</t>
  </si>
  <si>
    <t>クロック名, 周期, 変化位置1, 変化位置2, 初期値, アサイン信号名</t>
  </si>
  <si>
    <t>クロック定義</t>
  </si>
  <si>
    <t>7. パラメータ（テストベンチ）</t>
  </si>
  <si>
    <t>#patern</t>
  </si>
  <si>
    <t>パラメータ定義</t>
  </si>
  <si>
    <t>#endrtn</t>
  </si>
  <si>
    <t>タスク名</t>
  </si>
  <si>
    <t>シミュレーション終了時のタスク</t>
  </si>
  <si>
    <t>#arymax</t>
  </si>
  <si>
    <t>パラメータ総数</t>
  </si>
  <si>
    <t>パラメータ総数指定</t>
  </si>
  <si>
    <t>#var</t>
  </si>
  <si>
    <t>項目名, ビット幅</t>
  </si>
  <si>
    <t>パラメータ項目指定</t>
  </si>
  <si>
    <t>#p_patern</t>
  </si>
  <si>
    <t>パラメータにデータ付与</t>
  </si>
  <si>
    <t>データ1…データn</t>
  </si>
  <si>
    <t>パラメータデータ指定</t>
  </si>
  <si>
    <t>8. RTL用ステートマシン</t>
  </si>
  <si>
    <t>#rstatus</t>
  </si>
  <si>
    <t>ステータス名, 動作クロック, リセット…</t>
  </si>
  <si>
    <t>ステータスモード切替</t>
  </si>
  <si>
    <t>状態定義</t>
  </si>
  <si>
    <t>条件</t>
  </si>
  <si>
    <t>条件分岐</t>
  </si>
  <si>
    <t>#elseif</t>
  </si>
  <si>
    <t>背反条件</t>
  </si>
  <si>
    <t>#xelseif</t>
  </si>
  <si>
    <t>一行条件分岐</t>
  </si>
  <si>
    <t>#xelse</t>
  </si>
  <si>
    <t>条件終了</t>
  </si>
  <si>
    <t>状態名…</t>
  </si>
  <si>
    <t>状態遷移</t>
  </si>
  <si>
    <t>状態アクティブ</t>
  </si>
  <si>
    <t>状態インアクティブ</t>
  </si>
  <si>
    <t>#cmd</t>
  </si>
  <si>
    <t>代入式…</t>
  </si>
  <si>
    <t>コマンド</t>
  </si>
  <si>
    <t>#pull</t>
  </si>
  <si>
    <t>ワイヤ名</t>
  </si>
  <si>
    <t>条件抜き出し</t>
  </si>
  <si>
    <t>#assign</t>
  </si>
  <si>
    <t>ワイヤ名, アサイン式…</t>
  </si>
  <si>
    <t>条件抜き出し＋継続代入</t>
  </si>
  <si>
    <t>レジスタ名, サイクル:値…</t>
  </si>
  <si>
    <t>スケジューリング</t>
  </si>
  <si>
    <t>wire の代替定義</t>
  </si>
  <si>
    <t>reg の代替定義</t>
  </si>
  <si>
    <t>9. ステートマシン（テストベンチ）</t>
  </si>
  <si>
    <t>ステータス名, クロック</t>
  </si>
  <si>
    <t>状態遷移定義</t>
  </si>
  <si>
    <t>#slocal</t>
  </si>
  <si>
    <t>変数名, ビット幅, 初期値</t>
  </si>
  <si>
    <t>ローカル変数</t>
  </si>
  <si>
    <t>#sparm</t>
  </si>
  <si>
    <t>変数名, ビット幅</t>
  </si>
  <si>
    <t>パラメータ変数</t>
  </si>
  <si>
    <t>#exec</t>
  </si>
  <si>
    <t>状態実行</t>
  </si>
  <si>
    <t>命令</t>
  </si>
  <si>
    <t>信号名, クロック, 変化点:値…</t>
  </si>
  <si>
    <t>#chg #cmd</t>
  </si>
  <si>
    <t>クロック, 変化点:命令…</t>
  </si>
  <si>
    <t>スケジューリング（命令版）</t>
  </si>
  <si>
    <t>10. 周期タスク（テストベンチ）</t>
  </si>
  <si>
    <t>タスク名, クロック, 動作クロック数, 間隔, 回数</t>
  </si>
  <si>
    <t>周期タスク（立ち上がり）</t>
  </si>
  <si>
    <t>同上</t>
  </si>
  <si>
    <t>周期タスク（立ち下がり）</t>
  </si>
  <si>
    <t>周期タスク（両エッジ）</t>
  </si>
  <si>
    <t>サイクル数</t>
  </si>
  <si>
    <t>相対位置変更</t>
  </si>
  <si>
    <t>現在位置から加算</t>
  </si>
  <si>
    <t>11. モジュール間通信インターフェース（テストベンチ）</t>
  </si>
  <si>
    <t>#inf_send</t>
  </si>
  <si>
    <t>ラベル</t>
  </si>
  <si>
    <t>送信側インターフェース</t>
  </si>
  <si>
    <t>#inf_recv</t>
  </si>
  <si>
    <t>ラベル, FIFOサイズ</t>
  </si>
  <si>
    <t>受信側インターフェース</t>
  </si>
  <si>
    <t>#inf_enable</t>
  </si>
  <si>
    <t>信号名</t>
  </si>
  <si>
    <t>インターフェースイネーブル</t>
  </si>
  <si>
    <t>#inf</t>
  </si>
  <si>
    <t>信号名, ビット幅</t>
  </si>
  <si>
    <t>インターフェース信号定義</t>
  </si>
  <si>
    <t>12. ファンクションカバレッジ</t>
  </si>
  <si>
    <t>#coverage</t>
  </si>
  <si>
    <t>クロック, 式</t>
  </si>
  <si>
    <t>式が真の時にカバレッジ記録</t>
  </si>
  <si>
    <t>13. ファイルリード</t>
  </si>
  <si>
    <t>ポインタ, 配列数, ファイル名</t>
  </si>
  <si>
    <t>$readmemh の定義</t>
  </si>
  <si>
    <t>#readvar</t>
  </si>
  <si>
    <t>変数名, バイト数</t>
  </si>
  <si>
    <t>$readmemh 用変数定義</t>
  </si>
  <si>
    <t>csvveri_sample.xls（サンプル）</t>
    <phoneticPr fontId="1"/>
  </si>
  <si>
    <t>シート一覧</t>
  </si>
  <si>
    <t>cmd</t>
  </si>
  <si>
    <t>model</t>
  </si>
  <si>
    <t>clk</t>
  </si>
  <si>
    <t>main</t>
  </si>
  <si>
    <t>test</t>
  </si>
  <si>
    <t>test_port</t>
  </si>
  <si>
    <t>top</t>
  </si>
  <si>
    <t>シート「cmd」</t>
  </si>
  <si>
    <t>%include</t>
  </si>
  <si>
    <t>csvveri_C.csv</t>
  </si>
  <si>
    <t>%classcall</t>
  </si>
  <si>
    <t>del c:\csv\*.v</t>
  </si>
  <si>
    <t>#c:\csv\modelZ.csv</t>
  </si>
  <si>
    <t>c:\csv\model.v</t>
  </si>
  <si>
    <t>RTLモデル</t>
  </si>
  <si>
    <t>model.csv</t>
  </si>
  <si>
    <t>#c:\csv\mainZ.csv</t>
  </si>
  <si>
    <t>c:\csv\main.v</t>
  </si>
  <si>
    <t>テストシナリオ</t>
  </si>
  <si>
    <t>main.csv</t>
  </si>
  <si>
    <t>#c:\csv\clkZ.csv</t>
  </si>
  <si>
    <t>c:\csv\clk.v</t>
  </si>
  <si>
    <t>クロック</t>
  </si>
  <si>
    <t>clk.csv</t>
  </si>
  <si>
    <t>#c:\csv\testZ.csv</t>
  </si>
  <si>
    <t>c:\csv\test.v</t>
  </si>
  <si>
    <t>テストベンチ</t>
  </si>
  <si>
    <t>test.csv</t>
  </si>
  <si>
    <t>#c:\csv\topZ.csv</t>
  </si>
  <si>
    <t>c:\csv\top.v</t>
  </si>
  <si>
    <t>top.csv</t>
  </si>
  <si>
    <t>シート「model」</t>
  </si>
  <si>
    <t>sample model</t>
    <phoneticPr fontId="1"/>
  </si>
  <si>
    <t>1.00</t>
    <phoneticPr fontId="1"/>
  </si>
  <si>
    <t>S.Kasuya</t>
    <phoneticPr fontId="1"/>
  </si>
  <si>
    <t>reset_n</t>
    <phoneticPr fontId="1"/>
  </si>
  <si>
    <t>A Side Interface</t>
    <phoneticPr fontId="1"/>
  </si>
  <si>
    <t>output</t>
    <phoneticPr fontId="1"/>
  </si>
  <si>
    <t>@~reset_n:1'b1</t>
    <phoneticPr fontId="1"/>
  </si>
  <si>
    <t>@~reset_n:32'b0</t>
    <phoneticPr fontId="1"/>
  </si>
  <si>
    <t>sample</t>
    <phoneticPr fontId="1"/>
  </si>
  <si>
    <t>@~reset_n</t>
    <phoneticPr fontId="1"/>
  </si>
  <si>
    <t>idle</t>
    <phoneticPr fontId="1"/>
  </si>
  <si>
    <t>~cs</t>
    <phoneticPr fontId="1"/>
  </si>
  <si>
    <t>add_fp = ad;</t>
    <phoneticPr fontId="1"/>
  </si>
  <si>
    <t>add = add_fp;</t>
    <phoneticPr fontId="1"/>
  </si>
  <si>
    <t>data = ad;</t>
    <phoneticPr fontId="1"/>
  </si>
  <si>
    <t>~ack_i</t>
    <phoneticPr fontId="1"/>
  </si>
  <si>
    <t>add = 32'h0;</t>
    <phoneticPr fontId="1"/>
  </si>
  <si>
    <t>data = 32'h0;</t>
    <phoneticPr fontId="1"/>
  </si>
  <si>
    <t>wait2</t>
    <phoneticPr fontId="1"/>
  </si>
  <si>
    <t>wire</t>
    <phoneticPr fontId="1"/>
  </si>
  <si>
    <t>シート「clk」</t>
  </si>
  <si>
    <t>シート「main」</t>
    <phoneticPr fontId="1"/>
  </si>
  <si>
    <t>シート「test」</t>
  </si>
  <si>
    <t>シート「test_port」</t>
  </si>
  <si>
    <t>シート「top」</t>
  </si>
  <si>
    <t>シート「csvveri_C」</t>
  </si>
  <si>
    <t>エラーメッセージ一覧</t>
  </si>
  <si>
    <t>エラー書式</t>
  </si>
  <si>
    <t xml:space="preserve">CSV File Read Error:コード名:メッセージ [command:コマンド]  </t>
  </si>
  <si>
    <t>SEL=エラー箇所  FILE=ファイル名  SEL_DATA=エラーデータ</t>
  </si>
  <si>
    <t>サンプル</t>
  </si>
  <si>
    <t xml:space="preserve">CSV File Read Error:E000:syntax error [command=32'h9000]  </t>
  </si>
  <si>
    <t>SEL=A3  FILE=c:\csv\mainZ.csv  SEL_DATA=32'h9000</t>
  </si>
  <si>
    <t>コード名</t>
  </si>
  <si>
    <t>文法エラーです。</t>
  </si>
  <si>
    <t>ステートマシンが２重定義されています。</t>
  </si>
  <si>
    <t>レジスタが２重定義されています。</t>
  </si>
  <si>
    <t>#status 定義がされていません。</t>
  </si>
  <si>
    <t>状態が２重定義されています。</t>
  </si>
  <si>
    <t>#if/#else～#endif の組み合わせに間違いがあります。</t>
  </si>
  <si>
    <t>schedule cycle unnumelic</t>
  </si>
  <si>
    <t>#chg コマンドのサイクル数が数値ではありません。</t>
  </si>
  <si>
    <t>undefine #reg</t>
  </si>
  <si>
    <t>#reg が定義されていません。</t>
  </si>
  <si>
    <t>wire 名が二重定義です。</t>
  </si>
  <si>
    <t>#sub 定義がされていません。</t>
  </si>
  <si>
    <t>#function 定義がされていません。</t>
  </si>
  <si>
    <t>E040</t>
  </si>
  <si>
    <t>#gate が定義されていません。</t>
  </si>
  <si>
    <t>E041</t>
  </si>
  <si>
    <t>#gate で定義されているポート数と数が合っていません。</t>
  </si>
  <si>
    <t>E050</t>
  </si>
  <si>
    <t>#define が定義されていません。</t>
  </si>
  <si>
    <t>#line が定義されていません。</t>
  </si>
  <si>
    <t>ヘッダが定義されていません。</t>
  </si>
  <si>
    <t>#con_head が定義されていません。</t>
  </si>
  <si>
    <t>モジュール名が定義されていません。</t>
  </si>
  <si>
    <t>インスタンス名が二重定義です。</t>
  </si>
  <si>
    <t>クロックが２重定義されています。</t>
  </si>
  <si>
    <t>undefine #patern</t>
  </si>
  <si>
    <t>#patern 定義がされていません。</t>
  </si>
  <si>
    <t>undefine #p_patern</t>
  </si>
  <si>
    <t>#p_patern 定義がされていません。</t>
  </si>
  <si>
    <t>#module 定義がされていません。</t>
  </si>
  <si>
    <t>E100</t>
  </si>
  <si>
    <t>undefine #inf_send/#inf_recv</t>
  </si>
  <si>
    <t>#inf_send/#inf_recv のラベルが定義されていません。</t>
  </si>
  <si>
    <t>E101</t>
  </si>
  <si>
    <t>multiple define #inf_send/#inf_recv</t>
  </si>
  <si>
    <t>#inf_send/#inf_recv のラベルが二重定義です。</t>
  </si>
  <si>
    <t>W000</t>
  </si>
  <si>
    <t>ステートマシンが定義されていません。</t>
  </si>
  <si>
    <t>W001</t>
  </si>
  <si>
    <t>#wire が定義されていません。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</si>
</sst>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sz val="11"/>
      <name val="ＭＳ Ｐ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1" xfId="0" applyFont="1" applyBorder="1"/>
    <xf numFmtId="49" fontId="3" fillId="0" borderId="1" xfId="0" applyNumberFormat="1" applyFont="1" applyBorder="1" applyAlignment="1">
      <alignment horizontal="left"/>
    </xf>
    <xf numFmtId="49" fontId="3" fillId="0" borderId="0" xfId="0" applyNumberFormat="1" applyFont="1"/>
    <xf numFmtId="0" fontId="3" fillId="0" borderId="1" xfId="0" applyFont="1" applyBorder="1" applyAlignment="1">
      <alignment horizontal="center"/>
    </xf>
    <xf numFmtId="49" fontId="3" fillId="0" borderId="1" xfId="0" applyNumberFormat="1" applyFont="1" applyBorder="1"/>
    <xf numFmtId="49" fontId="3" fillId="2" borderId="1" xfId="0" applyNumberFormat="1" applyFont="1" applyFill="1" applyBorder="1"/>
    <xf numFmtId="49" fontId="3" fillId="2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left" vertical="top"/>
    </xf>
    <xf numFmtId="0" fontId="3" fillId="3" borderId="1" xfId="0" applyFont="1" applyFill="1" applyBorder="1" applyAlignment="1">
      <alignment horizontal="left"/>
    </xf>
    <xf numFmtId="49" fontId="3" fillId="3" borderId="1" xfId="0" applyNumberFormat="1" applyFont="1" applyFill="1" applyBorder="1" applyAlignment="1">
      <alignment horizontal="left"/>
    </xf>
    <xf numFmtId="0" fontId="3" fillId="3" borderId="1" xfId="0" applyFont="1" applyFill="1" applyBorder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/>
    <xf numFmtId="49" fontId="3" fillId="0" borderId="0" xfId="0" applyNumberFormat="1" applyFont="1" applyAlignment="1">
      <alignment horizontal="left"/>
    </xf>
    <xf numFmtId="49" fontId="3" fillId="0" borderId="1" xfId="1" applyNumberFormat="1" applyFont="1" applyBorder="1" applyAlignment="1">
      <alignment horizontal="left" vertical="top"/>
    </xf>
    <xf numFmtId="49" fontId="3" fillId="3" borderId="1" xfId="1" applyNumberFormat="1" applyFont="1" applyFill="1" applyBorder="1" applyAlignment="1">
      <alignment horizontal="left" vertical="top"/>
    </xf>
    <xf numFmtId="49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/>
    <xf numFmtId="49" fontId="3" fillId="0" borderId="1" xfId="0" quotePrefix="1" applyNumberFormat="1" applyFont="1" applyBorder="1"/>
  </cellXfs>
  <cellStyles count="2">
    <cellStyle name="標準" xfId="0" builtinId="0"/>
    <cellStyle name="標準_doc" xfId="1" xr:uid="{E6320536-516F-4820-8901-00F886CB0E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F81AA-3A74-488A-A7AC-CCEB16078C41}">
  <dimension ref="A1:A2"/>
  <sheetViews>
    <sheetView workbookViewId="0">
      <selection activeCell="F23" sqref="F23"/>
    </sheetView>
  </sheetViews>
  <sheetFormatPr defaultColWidth="4.5" defaultRowHeight="15.75" x14ac:dyDescent="0.25"/>
  <cols>
    <col min="1" max="16384" width="4.5" style="2"/>
  </cols>
  <sheetData>
    <row r="1" spans="1:1" ht="19.5" x14ac:dyDescent="0.3">
      <c r="A1" s="1" t="s">
        <v>17</v>
      </c>
    </row>
    <row r="2" spans="1:1" ht="19.5" x14ac:dyDescent="0.3">
      <c r="A2" s="1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65F5D-5310-478A-BFC7-ECD34E4782C4}">
  <dimension ref="A1:F22"/>
  <sheetViews>
    <sheetView zoomScale="115" zoomScaleNormal="115" workbookViewId="0">
      <selection activeCell="D21" sqref="D21"/>
    </sheetView>
  </sheetViews>
  <sheetFormatPr defaultRowHeight="15.75" x14ac:dyDescent="0.25"/>
  <cols>
    <col min="1" max="1" width="3.25" style="3" customWidth="1"/>
    <col min="2" max="2" width="25.625" style="4" customWidth="1"/>
    <col min="3" max="3" width="12.25" style="4" customWidth="1"/>
    <col min="4" max="4" width="38.25" style="4" customWidth="1"/>
    <col min="5" max="5" width="21.75" style="4" customWidth="1"/>
    <col min="6" max="6" width="9" style="4"/>
    <col min="7" max="16384" width="9" style="2"/>
  </cols>
  <sheetData>
    <row r="1" spans="1:6" s="3" customFormat="1" ht="19.5" x14ac:dyDescent="0.3">
      <c r="A1" s="1" t="s">
        <v>317</v>
      </c>
      <c r="B1" s="4"/>
      <c r="C1" s="4"/>
      <c r="D1" s="4"/>
      <c r="E1" s="4"/>
      <c r="F1" s="5"/>
    </row>
    <row r="2" spans="1:6" s="3" customFormat="1" ht="19.5" x14ac:dyDescent="0.3">
      <c r="A2" s="1"/>
      <c r="B2" s="4"/>
      <c r="C2" s="4"/>
      <c r="D2" s="4"/>
      <c r="E2" s="4"/>
      <c r="F2" s="5"/>
    </row>
    <row r="3" spans="1:6" x14ac:dyDescent="0.25">
      <c r="A3" s="3" t="s">
        <v>314</v>
      </c>
    </row>
    <row r="4" spans="1:6" x14ac:dyDescent="0.25">
      <c r="B4" s="4" t="s">
        <v>299</v>
      </c>
    </row>
    <row r="5" spans="1:6" x14ac:dyDescent="0.25">
      <c r="B5" s="4" t="s">
        <v>300</v>
      </c>
    </row>
    <row r="7" spans="1:6" x14ac:dyDescent="0.25">
      <c r="A7" s="3" t="s">
        <v>315</v>
      </c>
    </row>
    <row r="8" spans="1:6" x14ac:dyDescent="0.25">
      <c r="B8" s="4" t="s">
        <v>301</v>
      </c>
    </row>
    <row r="9" spans="1:6" x14ac:dyDescent="0.25">
      <c r="B9" s="4" t="s">
        <v>302</v>
      </c>
    </row>
    <row r="10" spans="1:6" x14ac:dyDescent="0.25">
      <c r="B10" s="4" t="s">
        <v>303</v>
      </c>
    </row>
    <row r="11" spans="1:6" x14ac:dyDescent="0.25">
      <c r="B11" s="4" t="s">
        <v>304</v>
      </c>
    </row>
    <row r="12" spans="1:6" x14ac:dyDescent="0.25">
      <c r="B12" s="4" t="s">
        <v>305</v>
      </c>
    </row>
    <row r="13" spans="1:6" x14ac:dyDescent="0.25">
      <c r="B13" s="4" t="s">
        <v>306</v>
      </c>
    </row>
    <row r="14" spans="1:6" x14ac:dyDescent="0.25">
      <c r="B14" s="4" t="s">
        <v>307</v>
      </c>
    </row>
    <row r="15" spans="1:6" x14ac:dyDescent="0.25">
      <c r="B15" s="4" t="s">
        <v>308</v>
      </c>
    </row>
    <row r="16" spans="1:6" x14ac:dyDescent="0.25">
      <c r="B16" s="4" t="s">
        <v>309</v>
      </c>
    </row>
    <row r="18" spans="1:2" x14ac:dyDescent="0.25">
      <c r="A18" s="3" t="s">
        <v>316</v>
      </c>
    </row>
    <row r="19" spans="1:2" x14ac:dyDescent="0.25">
      <c r="B19" s="4" t="s">
        <v>310</v>
      </c>
    </row>
    <row r="20" spans="1:2" x14ac:dyDescent="0.25">
      <c r="B20" s="4" t="s">
        <v>311</v>
      </c>
    </row>
    <row r="21" spans="1:2" x14ac:dyDescent="0.25">
      <c r="B21" s="4" t="s">
        <v>312</v>
      </c>
    </row>
    <row r="22" spans="1:2" x14ac:dyDescent="0.25">
      <c r="B22" s="4" t="s">
        <v>313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909B0-AA66-484F-A5DF-F7DF3A38D154}">
  <dimension ref="A1:F132"/>
  <sheetViews>
    <sheetView topLeftCell="A3" zoomScaleNormal="100" workbookViewId="0">
      <selection activeCell="C139" sqref="C139"/>
    </sheetView>
  </sheetViews>
  <sheetFormatPr defaultRowHeight="15.75" x14ac:dyDescent="0.25"/>
  <cols>
    <col min="1" max="1" width="3.25" style="3" customWidth="1"/>
    <col min="2" max="2" width="17.75" style="4" bestFit="1" customWidth="1"/>
    <col min="3" max="3" width="57.5" style="4" bestFit="1" customWidth="1"/>
    <col min="4" max="4" width="32.25" style="4" bestFit="1" customWidth="1"/>
    <col min="5" max="5" width="21.75" style="4" customWidth="1"/>
    <col min="6" max="6" width="9" style="4"/>
    <col min="7" max="16384" width="9" style="2"/>
  </cols>
  <sheetData>
    <row r="1" spans="1:6" s="3" customFormat="1" ht="19.5" x14ac:dyDescent="0.3">
      <c r="A1" s="1" t="s">
        <v>319</v>
      </c>
      <c r="B1" s="4"/>
      <c r="C1" s="4"/>
      <c r="D1" s="4"/>
      <c r="E1" s="4"/>
      <c r="F1" s="5"/>
    </row>
    <row r="3" spans="1:6" x14ac:dyDescent="0.25">
      <c r="A3" s="3" t="s">
        <v>318</v>
      </c>
    </row>
    <row r="4" spans="1:6" x14ac:dyDescent="0.25">
      <c r="B4" s="6" t="s">
        <v>320</v>
      </c>
      <c r="C4" s="6" t="s">
        <v>321</v>
      </c>
      <c r="D4" s="6" t="s">
        <v>322</v>
      </c>
    </row>
    <row r="5" spans="1:6" x14ac:dyDescent="0.25">
      <c r="B5" s="6" t="s">
        <v>18</v>
      </c>
      <c r="C5" s="6" t="s">
        <v>323</v>
      </c>
      <c r="D5" s="6" t="s">
        <v>324</v>
      </c>
    </row>
    <row r="6" spans="1:6" x14ac:dyDescent="0.25">
      <c r="B6" s="6" t="s">
        <v>27</v>
      </c>
      <c r="C6" s="6" t="s">
        <v>325</v>
      </c>
      <c r="D6" s="6" t="s">
        <v>326</v>
      </c>
    </row>
    <row r="7" spans="1:6" x14ac:dyDescent="0.25">
      <c r="B7" s="6" t="s">
        <v>327</v>
      </c>
      <c r="C7" s="6" t="s">
        <v>328</v>
      </c>
      <c r="D7" s="6" t="s">
        <v>329</v>
      </c>
    </row>
    <row r="8" spans="1:6" x14ac:dyDescent="0.25">
      <c r="B8" s="6" t="s">
        <v>330</v>
      </c>
      <c r="C8" s="6" t="s">
        <v>328</v>
      </c>
      <c r="D8" s="6" t="s">
        <v>331</v>
      </c>
    </row>
    <row r="9" spans="1:6" x14ac:dyDescent="0.25">
      <c r="B9" s="6" t="s">
        <v>332</v>
      </c>
      <c r="C9" s="6" t="s">
        <v>328</v>
      </c>
      <c r="D9" s="6" t="s">
        <v>333</v>
      </c>
    </row>
    <row r="10" spans="1:6" x14ac:dyDescent="0.25">
      <c r="B10" s="6" t="s">
        <v>334</v>
      </c>
      <c r="C10" s="6" t="s">
        <v>335</v>
      </c>
      <c r="D10" s="6" t="s">
        <v>336</v>
      </c>
    </row>
    <row r="11" spans="1:6" x14ac:dyDescent="0.25">
      <c r="B11" s="6" t="s">
        <v>337</v>
      </c>
      <c r="C11" s="6" t="s">
        <v>338</v>
      </c>
      <c r="D11" s="6" t="s">
        <v>339</v>
      </c>
    </row>
    <row r="12" spans="1:6" x14ac:dyDescent="0.25">
      <c r="B12" s="6" t="s">
        <v>340</v>
      </c>
      <c r="C12" s="6" t="s">
        <v>341</v>
      </c>
      <c r="D12" s="6" t="s">
        <v>342</v>
      </c>
    </row>
    <row r="13" spans="1:6" x14ac:dyDescent="0.25">
      <c r="B13" s="6" t="s">
        <v>343</v>
      </c>
      <c r="C13" s="6" t="s">
        <v>344</v>
      </c>
      <c r="D13" s="6" t="s">
        <v>345</v>
      </c>
    </row>
    <row r="14" spans="1:6" x14ac:dyDescent="0.25">
      <c r="B14" s="6" t="s">
        <v>346</v>
      </c>
      <c r="C14" s="6" t="s">
        <v>347</v>
      </c>
      <c r="D14" s="6" t="s">
        <v>348</v>
      </c>
    </row>
    <row r="15" spans="1:6" x14ac:dyDescent="0.25">
      <c r="B15" s="6" t="s">
        <v>349</v>
      </c>
      <c r="C15" s="6" t="s">
        <v>350</v>
      </c>
      <c r="D15" s="6" t="s">
        <v>351</v>
      </c>
    </row>
    <row r="16" spans="1:6" x14ac:dyDescent="0.25">
      <c r="B16" s="6" t="s">
        <v>242</v>
      </c>
      <c r="C16" s="6" t="s">
        <v>352</v>
      </c>
      <c r="D16" s="6" t="s">
        <v>353</v>
      </c>
    </row>
    <row r="17" spans="1:4" x14ac:dyDescent="0.25">
      <c r="B17" s="6" t="s">
        <v>354</v>
      </c>
      <c r="C17" s="6" t="s">
        <v>355</v>
      </c>
      <c r="D17" s="6" t="s">
        <v>356</v>
      </c>
    </row>
    <row r="18" spans="1:4" x14ac:dyDescent="0.25">
      <c r="B18" s="6" t="s">
        <v>357</v>
      </c>
      <c r="C18" s="6" t="s">
        <v>358</v>
      </c>
      <c r="D18" s="6" t="s">
        <v>359</v>
      </c>
    </row>
    <row r="20" spans="1:4" x14ac:dyDescent="0.25">
      <c r="A20" s="3" t="s">
        <v>360</v>
      </c>
    </row>
    <row r="21" spans="1:4" x14ac:dyDescent="0.25">
      <c r="B21" s="6" t="s">
        <v>320</v>
      </c>
      <c r="C21" s="6" t="s">
        <v>321</v>
      </c>
      <c r="D21" s="6" t="s">
        <v>322</v>
      </c>
    </row>
    <row r="22" spans="1:4" x14ac:dyDescent="0.25">
      <c r="B22" s="6" t="s">
        <v>361</v>
      </c>
      <c r="C22" s="6" t="s">
        <v>362</v>
      </c>
      <c r="D22" s="6" t="s">
        <v>363</v>
      </c>
    </row>
    <row r="23" spans="1:4" x14ac:dyDescent="0.25">
      <c r="B23" s="6" t="s">
        <v>364</v>
      </c>
      <c r="C23" s="6" t="s">
        <v>365</v>
      </c>
      <c r="D23" s="6" t="s">
        <v>366</v>
      </c>
    </row>
    <row r="24" spans="1:4" x14ac:dyDescent="0.25">
      <c r="B24" s="6" t="s">
        <v>367</v>
      </c>
      <c r="C24" s="6" t="s">
        <v>368</v>
      </c>
      <c r="D24" s="6" t="s">
        <v>369</v>
      </c>
    </row>
    <row r="26" spans="1:4" x14ac:dyDescent="0.25">
      <c r="A26" s="3" t="s">
        <v>370</v>
      </c>
    </row>
    <row r="27" spans="1:4" x14ac:dyDescent="0.25">
      <c r="B27" s="6" t="s">
        <v>320</v>
      </c>
      <c r="C27" s="6" t="s">
        <v>321</v>
      </c>
      <c r="D27" s="6" t="s">
        <v>322</v>
      </c>
    </row>
    <row r="28" spans="1:4" x14ac:dyDescent="0.25">
      <c r="B28" s="6" t="s">
        <v>371</v>
      </c>
      <c r="C28" s="6" t="s">
        <v>372</v>
      </c>
      <c r="D28" s="6" t="s">
        <v>373</v>
      </c>
    </row>
    <row r="29" spans="1:4" x14ac:dyDescent="0.25">
      <c r="B29" s="6" t="s">
        <v>374</v>
      </c>
      <c r="C29" s="6" t="s">
        <v>375</v>
      </c>
      <c r="D29" s="6" t="s">
        <v>376</v>
      </c>
    </row>
    <row r="30" spans="1:4" x14ac:dyDescent="0.25">
      <c r="B30" s="6" t="s">
        <v>377</v>
      </c>
      <c r="C30" s="6" t="s">
        <v>378</v>
      </c>
      <c r="D30" s="6" t="s">
        <v>379</v>
      </c>
    </row>
    <row r="31" spans="1:4" x14ac:dyDescent="0.25">
      <c r="B31" s="6" t="s">
        <v>243</v>
      </c>
      <c r="C31" s="6" t="s">
        <v>380</v>
      </c>
      <c r="D31" s="6" t="s">
        <v>381</v>
      </c>
    </row>
    <row r="32" spans="1:4" x14ac:dyDescent="0.25">
      <c r="B32" s="6" t="s">
        <v>244</v>
      </c>
      <c r="C32" s="6" t="s">
        <v>382</v>
      </c>
      <c r="D32" s="6" t="s">
        <v>383</v>
      </c>
    </row>
    <row r="34" spans="1:4" x14ac:dyDescent="0.25">
      <c r="A34" s="3" t="s">
        <v>384</v>
      </c>
    </row>
    <row r="35" spans="1:4" x14ac:dyDescent="0.25">
      <c r="B35" s="6" t="s">
        <v>320</v>
      </c>
      <c r="C35" s="6" t="s">
        <v>321</v>
      </c>
      <c r="D35" s="6" t="s">
        <v>322</v>
      </c>
    </row>
    <row r="36" spans="1:4" x14ac:dyDescent="0.25">
      <c r="B36" s="6" t="s">
        <v>385</v>
      </c>
      <c r="C36" s="6" t="s">
        <v>386</v>
      </c>
      <c r="D36" s="6" t="s">
        <v>387</v>
      </c>
    </row>
    <row r="37" spans="1:4" x14ac:dyDescent="0.25">
      <c r="B37" s="6" t="s">
        <v>388</v>
      </c>
      <c r="C37" s="6" t="s">
        <v>389</v>
      </c>
      <c r="D37" s="6" t="s">
        <v>390</v>
      </c>
    </row>
    <row r="38" spans="1:4" x14ac:dyDescent="0.25">
      <c r="B38" s="6" t="s">
        <v>391</v>
      </c>
      <c r="C38" s="6" t="s">
        <v>392</v>
      </c>
      <c r="D38" s="6" t="s">
        <v>393</v>
      </c>
    </row>
    <row r="39" spans="1:4" x14ac:dyDescent="0.25">
      <c r="B39" s="6" t="s">
        <v>394</v>
      </c>
      <c r="C39" s="6" t="s">
        <v>395</v>
      </c>
      <c r="D39" s="6" t="s">
        <v>396</v>
      </c>
    </row>
    <row r="40" spans="1:4" x14ac:dyDescent="0.25">
      <c r="B40" s="6" t="s">
        <v>397</v>
      </c>
      <c r="C40" s="6" t="s">
        <v>398</v>
      </c>
      <c r="D40" s="6" t="s">
        <v>393</v>
      </c>
    </row>
    <row r="41" spans="1:4" x14ac:dyDescent="0.25">
      <c r="B41" s="6" t="s">
        <v>397</v>
      </c>
      <c r="C41" s="6" t="s">
        <v>399</v>
      </c>
      <c r="D41" s="6" t="s">
        <v>400</v>
      </c>
    </row>
    <row r="43" spans="1:4" x14ac:dyDescent="0.25">
      <c r="A43" s="3" t="s">
        <v>401</v>
      </c>
    </row>
    <row r="44" spans="1:4" x14ac:dyDescent="0.25">
      <c r="B44" s="6" t="s">
        <v>320</v>
      </c>
      <c r="C44" s="6" t="s">
        <v>321</v>
      </c>
      <c r="D44" s="6" t="s">
        <v>322</v>
      </c>
    </row>
    <row r="45" spans="1:4" x14ac:dyDescent="0.25">
      <c r="B45" s="6" t="s">
        <v>402</v>
      </c>
      <c r="C45" s="6" t="s">
        <v>403</v>
      </c>
      <c r="D45" s="6" t="s">
        <v>404</v>
      </c>
    </row>
    <row r="46" spans="1:4" x14ac:dyDescent="0.25">
      <c r="B46" s="6" t="s">
        <v>405</v>
      </c>
      <c r="C46" s="6" t="s">
        <v>403</v>
      </c>
      <c r="D46" s="6" t="s">
        <v>406</v>
      </c>
    </row>
    <row r="47" spans="1:4" x14ac:dyDescent="0.25">
      <c r="B47" s="6" t="s">
        <v>407</v>
      </c>
      <c r="C47" s="6" t="s">
        <v>16</v>
      </c>
      <c r="D47" s="6" t="s">
        <v>408</v>
      </c>
    </row>
    <row r="48" spans="1:4" x14ac:dyDescent="0.25">
      <c r="B48" s="6" t="s">
        <v>409</v>
      </c>
      <c r="C48" s="6" t="s">
        <v>16</v>
      </c>
      <c r="D48" s="6" t="s">
        <v>410</v>
      </c>
    </row>
    <row r="49" spans="1:4" x14ac:dyDescent="0.25">
      <c r="B49" s="6" t="s">
        <v>411</v>
      </c>
      <c r="C49" s="6" t="s">
        <v>16</v>
      </c>
      <c r="D49" s="6" t="s">
        <v>412</v>
      </c>
    </row>
    <row r="51" spans="1:4" x14ac:dyDescent="0.25">
      <c r="A51" s="3" t="s">
        <v>413</v>
      </c>
    </row>
    <row r="52" spans="1:4" x14ac:dyDescent="0.25">
      <c r="B52" s="6" t="s">
        <v>320</v>
      </c>
      <c r="C52" s="6" t="s">
        <v>321</v>
      </c>
      <c r="D52" s="6" t="s">
        <v>322</v>
      </c>
    </row>
    <row r="53" spans="1:4" x14ac:dyDescent="0.25">
      <c r="B53" s="6" t="s">
        <v>63</v>
      </c>
      <c r="C53" s="6" t="s">
        <v>414</v>
      </c>
      <c r="D53" s="6" t="s">
        <v>415</v>
      </c>
    </row>
    <row r="55" spans="1:4" x14ac:dyDescent="0.25">
      <c r="A55" s="3" t="s">
        <v>416</v>
      </c>
    </row>
    <row r="56" spans="1:4" x14ac:dyDescent="0.25">
      <c r="B56" s="6" t="s">
        <v>320</v>
      </c>
      <c r="C56" s="6" t="s">
        <v>321</v>
      </c>
      <c r="D56" s="6" t="s">
        <v>322</v>
      </c>
    </row>
    <row r="57" spans="1:4" x14ac:dyDescent="0.25">
      <c r="B57" s="6" t="s">
        <v>417</v>
      </c>
      <c r="C57" s="6" t="s">
        <v>245</v>
      </c>
      <c r="D57" s="6" t="s">
        <v>418</v>
      </c>
    </row>
    <row r="58" spans="1:4" x14ac:dyDescent="0.25">
      <c r="B58" s="6" t="s">
        <v>419</v>
      </c>
      <c r="C58" s="6" t="s">
        <v>420</v>
      </c>
      <c r="D58" s="6" t="s">
        <v>421</v>
      </c>
    </row>
    <row r="59" spans="1:4" x14ac:dyDescent="0.25">
      <c r="B59" s="6" t="s">
        <v>422</v>
      </c>
      <c r="C59" s="6" t="s">
        <v>423</v>
      </c>
      <c r="D59" s="6" t="s">
        <v>424</v>
      </c>
    </row>
    <row r="60" spans="1:4" x14ac:dyDescent="0.25">
      <c r="B60" s="6" t="s">
        <v>425</v>
      </c>
      <c r="C60" s="6" t="s">
        <v>426</v>
      </c>
      <c r="D60" s="6" t="s">
        <v>427</v>
      </c>
    </row>
    <row r="61" spans="1:4" x14ac:dyDescent="0.25">
      <c r="B61" s="6" t="s">
        <v>428</v>
      </c>
      <c r="C61" s="6" t="s">
        <v>245</v>
      </c>
      <c r="D61" s="6" t="s">
        <v>429</v>
      </c>
    </row>
    <row r="62" spans="1:4" x14ac:dyDescent="0.25">
      <c r="B62" s="6" t="s">
        <v>182</v>
      </c>
      <c r="C62" s="6" t="s">
        <v>430</v>
      </c>
      <c r="D62" s="6" t="s">
        <v>431</v>
      </c>
    </row>
    <row r="64" spans="1:4" x14ac:dyDescent="0.25">
      <c r="A64" s="3" t="s">
        <v>432</v>
      </c>
    </row>
    <row r="65" spans="2:4" x14ac:dyDescent="0.25">
      <c r="B65" s="6" t="s">
        <v>320</v>
      </c>
      <c r="C65" s="6" t="s">
        <v>321</v>
      </c>
      <c r="D65" s="6" t="s">
        <v>322</v>
      </c>
    </row>
    <row r="66" spans="2:4" x14ac:dyDescent="0.25">
      <c r="B66" s="6" t="s">
        <v>433</v>
      </c>
      <c r="C66" s="6" t="s">
        <v>434</v>
      </c>
      <c r="D66" s="6" t="s">
        <v>435</v>
      </c>
    </row>
    <row r="67" spans="2:4" x14ac:dyDescent="0.25">
      <c r="B67" s="6" t="s">
        <v>1</v>
      </c>
      <c r="C67" s="6" t="s">
        <v>5</v>
      </c>
      <c r="D67" s="6" t="s">
        <v>436</v>
      </c>
    </row>
    <row r="68" spans="2:4" x14ac:dyDescent="0.25">
      <c r="B68" s="6" t="s">
        <v>2</v>
      </c>
      <c r="C68" s="6" t="s">
        <v>437</v>
      </c>
      <c r="D68" s="6" t="s">
        <v>438</v>
      </c>
    </row>
    <row r="69" spans="2:4" x14ac:dyDescent="0.25">
      <c r="B69" s="6" t="s">
        <v>439</v>
      </c>
      <c r="C69" s="6" t="s">
        <v>437</v>
      </c>
      <c r="D69" s="6" t="s">
        <v>440</v>
      </c>
    </row>
    <row r="70" spans="2:4" x14ac:dyDescent="0.25">
      <c r="B70" s="6" t="s">
        <v>441</v>
      </c>
      <c r="C70" s="6" t="s">
        <v>437</v>
      </c>
      <c r="D70" s="6" t="s">
        <v>442</v>
      </c>
    </row>
    <row r="71" spans="2:4" x14ac:dyDescent="0.25">
      <c r="B71" s="6" t="s">
        <v>4</v>
      </c>
      <c r="C71" s="6" t="s">
        <v>16</v>
      </c>
      <c r="D71" s="6" t="s">
        <v>440</v>
      </c>
    </row>
    <row r="72" spans="2:4" x14ac:dyDescent="0.25">
      <c r="B72" s="6" t="s">
        <v>443</v>
      </c>
      <c r="C72" s="6" t="s">
        <v>16</v>
      </c>
      <c r="D72" s="6" t="s">
        <v>442</v>
      </c>
    </row>
    <row r="73" spans="2:4" x14ac:dyDescent="0.25">
      <c r="B73" s="6" t="s">
        <v>3</v>
      </c>
      <c r="C73" s="6" t="s">
        <v>16</v>
      </c>
      <c r="D73" s="6" t="s">
        <v>444</v>
      </c>
    </row>
    <row r="74" spans="2:4" x14ac:dyDescent="0.25">
      <c r="B74" s="6" t="s">
        <v>6</v>
      </c>
      <c r="C74" s="6" t="s">
        <v>445</v>
      </c>
      <c r="D74" s="6" t="s">
        <v>446</v>
      </c>
    </row>
    <row r="75" spans="2:4" x14ac:dyDescent="0.25">
      <c r="B75" s="6" t="s">
        <v>7</v>
      </c>
      <c r="C75" s="6" t="s">
        <v>445</v>
      </c>
      <c r="D75" s="6" t="s">
        <v>447</v>
      </c>
    </row>
    <row r="76" spans="2:4" x14ac:dyDescent="0.25">
      <c r="B76" s="6" t="s">
        <v>8</v>
      </c>
      <c r="C76" s="6" t="s">
        <v>445</v>
      </c>
      <c r="D76" s="6" t="s">
        <v>448</v>
      </c>
    </row>
    <row r="77" spans="2:4" x14ac:dyDescent="0.25">
      <c r="B77" s="6" t="s">
        <v>449</v>
      </c>
      <c r="C77" s="6" t="s">
        <v>450</v>
      </c>
      <c r="D77" s="6" t="s">
        <v>451</v>
      </c>
    </row>
    <row r="78" spans="2:4" x14ac:dyDescent="0.25">
      <c r="B78" s="6" t="s">
        <v>452</v>
      </c>
      <c r="C78" s="6" t="s">
        <v>453</v>
      </c>
      <c r="D78" s="6" t="s">
        <v>454</v>
      </c>
    </row>
    <row r="79" spans="2:4" x14ac:dyDescent="0.25">
      <c r="B79" s="6" t="s">
        <v>455</v>
      </c>
      <c r="C79" s="6" t="s">
        <v>456</v>
      </c>
      <c r="D79" s="6" t="s">
        <v>457</v>
      </c>
    </row>
    <row r="80" spans="2:4" x14ac:dyDescent="0.25">
      <c r="B80" s="6" t="s">
        <v>9</v>
      </c>
      <c r="C80" s="6" t="s">
        <v>458</v>
      </c>
      <c r="D80" s="6" t="s">
        <v>459</v>
      </c>
    </row>
    <row r="81" spans="1:4" x14ac:dyDescent="0.25">
      <c r="B81" s="6" t="s">
        <v>244</v>
      </c>
      <c r="C81" s="6" t="s">
        <v>382</v>
      </c>
      <c r="D81" s="6" t="s">
        <v>460</v>
      </c>
    </row>
    <row r="82" spans="1:4" x14ac:dyDescent="0.25">
      <c r="B82" s="6" t="s">
        <v>247</v>
      </c>
      <c r="C82" s="6" t="s">
        <v>382</v>
      </c>
      <c r="D82" s="6" t="s">
        <v>461</v>
      </c>
    </row>
    <row r="84" spans="1:4" x14ac:dyDescent="0.25">
      <c r="A84" s="3" t="s">
        <v>462</v>
      </c>
    </row>
    <row r="85" spans="1:4" x14ac:dyDescent="0.25">
      <c r="B85" s="6" t="s">
        <v>320</v>
      </c>
      <c r="C85" s="6" t="s">
        <v>321</v>
      </c>
      <c r="D85" s="6" t="s">
        <v>322</v>
      </c>
    </row>
    <row r="86" spans="1:4" x14ac:dyDescent="0.25">
      <c r="B86" s="6" t="s">
        <v>119</v>
      </c>
      <c r="C86" s="6" t="s">
        <v>463</v>
      </c>
      <c r="D86" s="6" t="s">
        <v>464</v>
      </c>
    </row>
    <row r="87" spans="1:4" x14ac:dyDescent="0.25">
      <c r="B87" s="6" t="s">
        <v>397</v>
      </c>
      <c r="C87" s="6" t="s">
        <v>398</v>
      </c>
      <c r="D87" s="6" t="s">
        <v>393</v>
      </c>
    </row>
    <row r="88" spans="1:4" x14ac:dyDescent="0.25">
      <c r="B88" s="6" t="s">
        <v>397</v>
      </c>
      <c r="C88" s="6" t="s">
        <v>399</v>
      </c>
      <c r="D88" s="6" t="s">
        <v>400</v>
      </c>
    </row>
    <row r="89" spans="1:4" x14ac:dyDescent="0.25">
      <c r="B89" s="6" t="s">
        <v>465</v>
      </c>
      <c r="C89" s="6" t="s">
        <v>466</v>
      </c>
      <c r="D89" s="6" t="s">
        <v>467</v>
      </c>
    </row>
    <row r="90" spans="1:4" x14ac:dyDescent="0.25">
      <c r="B90" s="6" t="s">
        <v>468</v>
      </c>
      <c r="C90" s="6" t="s">
        <v>469</v>
      </c>
      <c r="D90" s="6" t="s">
        <v>470</v>
      </c>
    </row>
    <row r="91" spans="1:4" x14ac:dyDescent="0.25">
      <c r="B91" s="6" t="s">
        <v>1</v>
      </c>
      <c r="C91" s="6" t="s">
        <v>5</v>
      </c>
      <c r="D91" s="6" t="s">
        <v>436</v>
      </c>
    </row>
    <row r="92" spans="1:4" x14ac:dyDescent="0.25">
      <c r="B92" s="6" t="s">
        <v>2</v>
      </c>
      <c r="C92" s="6" t="s">
        <v>437</v>
      </c>
      <c r="D92" s="6" t="s">
        <v>437</v>
      </c>
    </row>
    <row r="93" spans="1:4" x14ac:dyDescent="0.25">
      <c r="B93" s="6" t="s">
        <v>439</v>
      </c>
      <c r="C93" s="6" t="s">
        <v>437</v>
      </c>
      <c r="D93" s="6" t="s">
        <v>440</v>
      </c>
    </row>
    <row r="94" spans="1:4" x14ac:dyDescent="0.25">
      <c r="B94" s="6" t="s">
        <v>441</v>
      </c>
      <c r="C94" s="6" t="s">
        <v>437</v>
      </c>
      <c r="D94" s="6" t="s">
        <v>442</v>
      </c>
    </row>
    <row r="95" spans="1:4" x14ac:dyDescent="0.25">
      <c r="B95" s="6" t="s">
        <v>4</v>
      </c>
      <c r="C95" s="6" t="s">
        <v>16</v>
      </c>
      <c r="D95" s="6" t="s">
        <v>440</v>
      </c>
    </row>
    <row r="96" spans="1:4" x14ac:dyDescent="0.25">
      <c r="B96" s="6" t="s">
        <v>443</v>
      </c>
      <c r="C96" s="6" t="s">
        <v>16</v>
      </c>
      <c r="D96" s="6" t="s">
        <v>442</v>
      </c>
    </row>
    <row r="97" spans="1:4" x14ac:dyDescent="0.25">
      <c r="B97" s="6" t="s">
        <v>3</v>
      </c>
      <c r="C97" s="6" t="s">
        <v>16</v>
      </c>
      <c r="D97" s="6" t="s">
        <v>444</v>
      </c>
    </row>
    <row r="98" spans="1:4" x14ac:dyDescent="0.25">
      <c r="B98" s="6" t="s">
        <v>6</v>
      </c>
      <c r="C98" s="6" t="s">
        <v>445</v>
      </c>
      <c r="D98" s="6" t="s">
        <v>446</v>
      </c>
    </row>
    <row r="99" spans="1:4" x14ac:dyDescent="0.25">
      <c r="B99" s="6" t="s">
        <v>7</v>
      </c>
      <c r="C99" s="6" t="s">
        <v>445</v>
      </c>
      <c r="D99" s="6" t="s">
        <v>447</v>
      </c>
    </row>
    <row r="100" spans="1:4" x14ac:dyDescent="0.25">
      <c r="B100" s="6" t="s">
        <v>8</v>
      </c>
      <c r="C100" s="6" t="s">
        <v>445</v>
      </c>
      <c r="D100" s="6" t="s">
        <v>448</v>
      </c>
    </row>
    <row r="101" spans="1:4" x14ac:dyDescent="0.25">
      <c r="B101" s="6" t="s">
        <v>471</v>
      </c>
      <c r="C101" s="6" t="s">
        <v>445</v>
      </c>
      <c r="D101" s="6" t="s">
        <v>472</v>
      </c>
    </row>
    <row r="102" spans="1:4" x14ac:dyDescent="0.25">
      <c r="B102" s="6" t="s">
        <v>449</v>
      </c>
      <c r="C102" s="6" t="s">
        <v>403</v>
      </c>
      <c r="D102" s="6" t="s">
        <v>473</v>
      </c>
    </row>
    <row r="103" spans="1:4" x14ac:dyDescent="0.25">
      <c r="B103" s="6" t="s">
        <v>9</v>
      </c>
      <c r="C103" s="6" t="s">
        <v>474</v>
      </c>
      <c r="D103" s="6" t="s">
        <v>459</v>
      </c>
    </row>
    <row r="104" spans="1:4" x14ac:dyDescent="0.25">
      <c r="B104" s="6" t="s">
        <v>475</v>
      </c>
      <c r="C104" s="6" t="s">
        <v>476</v>
      </c>
      <c r="D104" s="6" t="s">
        <v>477</v>
      </c>
    </row>
    <row r="106" spans="1:4" x14ac:dyDescent="0.25">
      <c r="A106" s="3" t="s">
        <v>478</v>
      </c>
    </row>
    <row r="107" spans="1:4" x14ac:dyDescent="0.25">
      <c r="B107" s="6" t="s">
        <v>320</v>
      </c>
      <c r="C107" s="6" t="s">
        <v>321</v>
      </c>
      <c r="D107" s="6" t="s">
        <v>322</v>
      </c>
    </row>
    <row r="108" spans="1:4" x14ac:dyDescent="0.25">
      <c r="B108" s="6" t="s">
        <v>248</v>
      </c>
      <c r="C108" s="6" t="s">
        <v>479</v>
      </c>
      <c r="D108" s="6" t="s">
        <v>480</v>
      </c>
    </row>
    <row r="109" spans="1:4" x14ac:dyDescent="0.25">
      <c r="B109" s="6" t="s">
        <v>249</v>
      </c>
      <c r="C109" s="6" t="s">
        <v>481</v>
      </c>
      <c r="D109" s="6" t="s">
        <v>482</v>
      </c>
    </row>
    <row r="110" spans="1:4" x14ac:dyDescent="0.25">
      <c r="B110" s="6" t="s">
        <v>250</v>
      </c>
      <c r="C110" s="6" t="s">
        <v>481</v>
      </c>
      <c r="D110" s="6" t="s">
        <v>483</v>
      </c>
    </row>
    <row r="111" spans="1:4" x14ac:dyDescent="0.25">
      <c r="B111" s="6" t="s">
        <v>251</v>
      </c>
      <c r="C111" s="6" t="s">
        <v>403</v>
      </c>
      <c r="D111" s="6" t="s">
        <v>473</v>
      </c>
    </row>
    <row r="112" spans="1:4" x14ac:dyDescent="0.25">
      <c r="B112" s="6" t="s">
        <v>252</v>
      </c>
      <c r="C112" s="6" t="s">
        <v>458</v>
      </c>
      <c r="D112" s="6" t="s">
        <v>459</v>
      </c>
    </row>
    <row r="113" spans="1:4" x14ac:dyDescent="0.25">
      <c r="B113" s="6" t="s">
        <v>253</v>
      </c>
      <c r="C113" s="6" t="s">
        <v>469</v>
      </c>
      <c r="D113" s="6" t="s">
        <v>470</v>
      </c>
    </row>
    <row r="114" spans="1:4" x14ac:dyDescent="0.25">
      <c r="B114" s="6" t="s">
        <v>254</v>
      </c>
      <c r="C114" s="6" t="s">
        <v>466</v>
      </c>
      <c r="D114" s="6" t="s">
        <v>467</v>
      </c>
    </row>
    <row r="115" spans="1:4" x14ac:dyDescent="0.25">
      <c r="B115" s="6" t="s">
        <v>255</v>
      </c>
      <c r="C115" s="6" t="s">
        <v>484</v>
      </c>
      <c r="D115" s="6" t="s">
        <v>485</v>
      </c>
    </row>
    <row r="116" spans="1:4" x14ac:dyDescent="0.25">
      <c r="B116" s="6" t="s">
        <v>256</v>
      </c>
      <c r="C116" s="6" t="s">
        <v>484</v>
      </c>
      <c r="D116" s="6" t="s">
        <v>486</v>
      </c>
    </row>
    <row r="118" spans="1:4" x14ac:dyDescent="0.25">
      <c r="A118" s="3" t="s">
        <v>487</v>
      </c>
    </row>
    <row r="119" spans="1:4" x14ac:dyDescent="0.25">
      <c r="B119" s="6" t="s">
        <v>320</v>
      </c>
      <c r="C119" s="6" t="s">
        <v>321</v>
      </c>
      <c r="D119" s="6" t="s">
        <v>322</v>
      </c>
    </row>
    <row r="120" spans="1:4" x14ac:dyDescent="0.25">
      <c r="B120" s="6" t="s">
        <v>488</v>
      </c>
      <c r="C120" s="6" t="s">
        <v>489</v>
      </c>
      <c r="D120" s="6" t="s">
        <v>490</v>
      </c>
    </row>
    <row r="121" spans="1:4" x14ac:dyDescent="0.25">
      <c r="B121" s="6" t="s">
        <v>491</v>
      </c>
      <c r="C121" s="6" t="s">
        <v>492</v>
      </c>
      <c r="D121" s="6" t="s">
        <v>493</v>
      </c>
    </row>
    <row r="122" spans="1:4" x14ac:dyDescent="0.25">
      <c r="B122" s="6" t="s">
        <v>494</v>
      </c>
      <c r="C122" s="6" t="s">
        <v>495</v>
      </c>
      <c r="D122" s="6" t="s">
        <v>496</v>
      </c>
    </row>
    <row r="123" spans="1:4" x14ac:dyDescent="0.25">
      <c r="B123" s="6" t="s">
        <v>497</v>
      </c>
      <c r="C123" s="6" t="s">
        <v>498</v>
      </c>
      <c r="D123" s="6" t="s">
        <v>499</v>
      </c>
    </row>
    <row r="125" spans="1:4" x14ac:dyDescent="0.25">
      <c r="A125" s="3" t="s">
        <v>500</v>
      </c>
    </row>
    <row r="126" spans="1:4" x14ac:dyDescent="0.25">
      <c r="B126" s="6" t="s">
        <v>320</v>
      </c>
      <c r="C126" s="6" t="s">
        <v>321</v>
      </c>
      <c r="D126" s="6" t="s">
        <v>322</v>
      </c>
    </row>
    <row r="127" spans="1:4" x14ac:dyDescent="0.25">
      <c r="B127" s="6" t="s">
        <v>501</v>
      </c>
      <c r="C127" s="6" t="s">
        <v>502</v>
      </c>
      <c r="D127" s="6" t="s">
        <v>503</v>
      </c>
    </row>
    <row r="129" spans="1:4" x14ac:dyDescent="0.25">
      <c r="A129" s="3" t="s">
        <v>504</v>
      </c>
    </row>
    <row r="130" spans="1:4" x14ac:dyDescent="0.25">
      <c r="B130" s="6" t="s">
        <v>320</v>
      </c>
      <c r="C130" s="6" t="s">
        <v>321</v>
      </c>
      <c r="D130" s="6" t="s">
        <v>322</v>
      </c>
    </row>
    <row r="131" spans="1:4" x14ac:dyDescent="0.25">
      <c r="B131" s="6" t="s">
        <v>257</v>
      </c>
      <c r="C131" s="6" t="s">
        <v>505</v>
      </c>
      <c r="D131" s="6" t="s">
        <v>506</v>
      </c>
    </row>
    <row r="132" spans="1:4" x14ac:dyDescent="0.25">
      <c r="B132" s="6" t="s">
        <v>507</v>
      </c>
      <c r="C132" s="6" t="s">
        <v>508</v>
      </c>
      <c r="D132" s="6" t="s">
        <v>509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4D783-8E73-4D20-888A-ADBE825FB2A9}">
  <dimension ref="A1:J300"/>
  <sheetViews>
    <sheetView topLeftCell="A287" zoomScaleNormal="100" workbookViewId="0">
      <selection activeCell="E309" sqref="E309"/>
    </sheetView>
  </sheetViews>
  <sheetFormatPr defaultRowHeight="15.75" x14ac:dyDescent="0.25"/>
  <cols>
    <col min="1" max="1" width="3.25" style="3" customWidth="1"/>
    <col min="2" max="2" width="15.625" style="4" bestFit="1" customWidth="1"/>
    <col min="3" max="3" width="17.625" style="4" bestFit="1" customWidth="1"/>
    <col min="4" max="4" width="21.625" style="4" bestFit="1" customWidth="1"/>
    <col min="5" max="5" width="31.125" style="4" customWidth="1"/>
    <col min="6" max="6" width="41.625" style="4" bestFit="1" customWidth="1"/>
    <col min="7" max="7" width="9.5" style="2" bestFit="1" customWidth="1"/>
    <col min="8" max="8" width="22.125" style="2" bestFit="1" customWidth="1"/>
    <col min="9" max="9" width="6.75" style="2" customWidth="1"/>
    <col min="10" max="10" width="13.75" style="2" bestFit="1" customWidth="1"/>
    <col min="11" max="16384" width="9" style="2"/>
  </cols>
  <sheetData>
    <row r="1" spans="1:8" s="3" customFormat="1" ht="19.5" x14ac:dyDescent="0.3">
      <c r="A1" s="1" t="s">
        <v>510</v>
      </c>
      <c r="B1" s="4"/>
      <c r="C1" s="4"/>
      <c r="D1" s="4"/>
      <c r="E1" s="4"/>
      <c r="F1" s="5"/>
    </row>
    <row r="3" spans="1:8" x14ac:dyDescent="0.25">
      <c r="A3" s="3" t="s">
        <v>511</v>
      </c>
    </row>
    <row r="4" spans="1:8" x14ac:dyDescent="0.25">
      <c r="B4" s="4" t="s">
        <v>512</v>
      </c>
    </row>
    <row r="5" spans="1:8" x14ac:dyDescent="0.25">
      <c r="B5" s="4" t="s">
        <v>513</v>
      </c>
    </row>
    <row r="6" spans="1:8" x14ac:dyDescent="0.25">
      <c r="B6" s="4" t="s">
        <v>514</v>
      </c>
    </row>
    <row r="7" spans="1:8" x14ac:dyDescent="0.25">
      <c r="B7" s="4" t="s">
        <v>515</v>
      </c>
    </row>
    <row r="8" spans="1:8" x14ac:dyDescent="0.25">
      <c r="B8" s="4" t="s">
        <v>516</v>
      </c>
    </row>
    <row r="9" spans="1:8" x14ac:dyDescent="0.25">
      <c r="B9" s="4" t="s">
        <v>517</v>
      </c>
    </row>
    <row r="10" spans="1:8" x14ac:dyDescent="0.25">
      <c r="B10" s="4" t="s">
        <v>518</v>
      </c>
    </row>
    <row r="11" spans="1:8" x14ac:dyDescent="0.25">
      <c r="B11" s="4" t="s">
        <v>22</v>
      </c>
    </row>
    <row r="13" spans="1:8" x14ac:dyDescent="0.25">
      <c r="A13" s="3" t="s">
        <v>519</v>
      </c>
    </row>
    <row r="14" spans="1:8" x14ac:dyDescent="0.25">
      <c r="B14" s="6" t="s">
        <v>520</v>
      </c>
      <c r="C14" s="6" t="s">
        <v>521</v>
      </c>
      <c r="D14" s="6"/>
      <c r="E14" s="6"/>
      <c r="F14" s="6"/>
      <c r="G14" s="7"/>
      <c r="H14" s="7"/>
    </row>
    <row r="15" spans="1:8" x14ac:dyDescent="0.25">
      <c r="B15" s="6" t="s">
        <v>522</v>
      </c>
      <c r="C15" s="6" t="s">
        <v>22</v>
      </c>
      <c r="D15" s="6" t="s">
        <v>23</v>
      </c>
      <c r="E15" s="6"/>
      <c r="F15" s="6"/>
      <c r="G15" s="7"/>
      <c r="H15" s="7"/>
    </row>
    <row r="16" spans="1:8" x14ac:dyDescent="0.25">
      <c r="B16" s="6" t="s">
        <v>14</v>
      </c>
      <c r="C16" s="6" t="s">
        <v>523</v>
      </c>
      <c r="D16" s="6"/>
      <c r="E16" s="6"/>
      <c r="F16" s="6"/>
      <c r="G16" s="7"/>
      <c r="H16" s="7"/>
    </row>
    <row r="17" spans="1:10" x14ac:dyDescent="0.25">
      <c r="B17" s="6" t="s">
        <v>0</v>
      </c>
      <c r="C17" s="6" t="s">
        <v>23</v>
      </c>
      <c r="D17" s="6" t="s">
        <v>524</v>
      </c>
      <c r="E17" s="6" t="s">
        <v>525</v>
      </c>
      <c r="F17" s="6" t="s">
        <v>21</v>
      </c>
      <c r="G17" s="7" t="s">
        <v>513</v>
      </c>
      <c r="H17" s="7" t="s">
        <v>526</v>
      </c>
    </row>
    <row r="18" spans="1:10" x14ac:dyDescent="0.25">
      <c r="B18" s="6" t="s">
        <v>520</v>
      </c>
      <c r="C18" s="6" t="s">
        <v>527</v>
      </c>
      <c r="D18" s="6"/>
      <c r="E18" s="6"/>
      <c r="F18" s="6"/>
      <c r="G18" s="7"/>
      <c r="H18" s="7"/>
    </row>
    <row r="19" spans="1:10" x14ac:dyDescent="0.25">
      <c r="B19" s="6" t="s">
        <v>0</v>
      </c>
      <c r="C19" s="6" t="s">
        <v>23</v>
      </c>
      <c r="D19" s="6" t="s">
        <v>528</v>
      </c>
      <c r="E19" s="6" t="s">
        <v>529</v>
      </c>
      <c r="F19" s="6" t="s">
        <v>21</v>
      </c>
      <c r="G19" s="7" t="s">
        <v>515</v>
      </c>
      <c r="H19" s="7" t="s">
        <v>530</v>
      </c>
    </row>
    <row r="20" spans="1:10" x14ac:dyDescent="0.25">
      <c r="B20" s="6" t="s">
        <v>520</v>
      </c>
      <c r="C20" s="6" t="s">
        <v>531</v>
      </c>
      <c r="D20" s="6"/>
      <c r="E20" s="6"/>
      <c r="F20" s="6"/>
      <c r="G20" s="7"/>
      <c r="H20" s="7"/>
    </row>
    <row r="21" spans="1:10" x14ac:dyDescent="0.25">
      <c r="B21" s="6" t="s">
        <v>0</v>
      </c>
      <c r="C21" s="6" t="s">
        <v>23</v>
      </c>
      <c r="D21" s="6" t="s">
        <v>532</v>
      </c>
      <c r="E21" s="6" t="s">
        <v>533</v>
      </c>
      <c r="F21" s="6" t="s">
        <v>21</v>
      </c>
      <c r="G21" s="7" t="s">
        <v>514</v>
      </c>
      <c r="H21" s="7" t="s">
        <v>534</v>
      </c>
    </row>
    <row r="22" spans="1:10" x14ac:dyDescent="0.25">
      <c r="B22" s="6" t="s">
        <v>520</v>
      </c>
      <c r="C22" s="6" t="s">
        <v>535</v>
      </c>
      <c r="D22" s="6"/>
      <c r="E22" s="6"/>
      <c r="F22" s="6"/>
      <c r="G22" s="7"/>
      <c r="H22" s="7"/>
    </row>
    <row r="23" spans="1:10" x14ac:dyDescent="0.25">
      <c r="B23" s="6" t="s">
        <v>0</v>
      </c>
      <c r="C23" s="6" t="s">
        <v>23</v>
      </c>
      <c r="D23" s="6" t="s">
        <v>536</v>
      </c>
      <c r="E23" s="6" t="s">
        <v>537</v>
      </c>
      <c r="F23" s="6" t="s">
        <v>21</v>
      </c>
      <c r="G23" s="7" t="s">
        <v>516</v>
      </c>
      <c r="H23" s="7" t="s">
        <v>538</v>
      </c>
    </row>
    <row r="24" spans="1:10" x14ac:dyDescent="0.25">
      <c r="B24" s="6" t="s">
        <v>520</v>
      </c>
      <c r="C24" s="6" t="s">
        <v>539</v>
      </c>
      <c r="D24" s="6"/>
      <c r="E24" s="6"/>
      <c r="F24" s="6"/>
      <c r="G24" s="7"/>
      <c r="H24" s="7"/>
    </row>
    <row r="25" spans="1:10" x14ac:dyDescent="0.25">
      <c r="B25" s="6" t="s">
        <v>0</v>
      </c>
      <c r="C25" s="6" t="s">
        <v>23</v>
      </c>
      <c r="D25" s="6" t="s">
        <v>540</v>
      </c>
      <c r="E25" s="6" t="s">
        <v>541</v>
      </c>
      <c r="F25" s="6" t="s">
        <v>21</v>
      </c>
      <c r="G25" s="7" t="s">
        <v>518</v>
      </c>
      <c r="H25" s="7" t="s">
        <v>26</v>
      </c>
    </row>
    <row r="26" spans="1:10" x14ac:dyDescent="0.25">
      <c r="B26" s="6" t="s">
        <v>520</v>
      </c>
      <c r="C26" s="6" t="s">
        <v>542</v>
      </c>
      <c r="D26" s="6"/>
      <c r="E26" s="6"/>
      <c r="F26" s="6"/>
      <c r="G26" s="7"/>
      <c r="H26" s="7"/>
    </row>
    <row r="27" spans="1:10" x14ac:dyDescent="0.25">
      <c r="B27" s="6"/>
      <c r="C27" s="6"/>
      <c r="D27" s="6"/>
      <c r="E27" s="6"/>
      <c r="F27" s="6"/>
      <c r="G27" s="7"/>
      <c r="H27" s="7"/>
    </row>
    <row r="29" spans="1:10" x14ac:dyDescent="0.25">
      <c r="A29" s="3" t="s">
        <v>543</v>
      </c>
    </row>
    <row r="30" spans="1:10" x14ac:dyDescent="0.25">
      <c r="B30" s="6" t="s">
        <v>27</v>
      </c>
      <c r="C30" s="6" t="s">
        <v>24</v>
      </c>
      <c r="D30" s="6"/>
      <c r="E30" s="6"/>
      <c r="F30" s="6"/>
      <c r="G30" s="7"/>
      <c r="H30" s="7"/>
      <c r="I30" s="7"/>
      <c r="J30" s="7"/>
    </row>
    <row r="31" spans="1:10" x14ac:dyDescent="0.25">
      <c r="B31" s="7" t="s">
        <v>28</v>
      </c>
      <c r="C31" s="7" t="s">
        <v>544</v>
      </c>
      <c r="D31" s="7" t="str">
        <f>C30</f>
        <v>model</v>
      </c>
      <c r="E31" s="11" t="s">
        <v>545</v>
      </c>
      <c r="F31" s="7" t="s">
        <v>546</v>
      </c>
      <c r="G31" s="7"/>
      <c r="H31" s="6"/>
      <c r="I31" s="6"/>
      <c r="J31" s="6"/>
    </row>
    <row r="32" spans="1:10" x14ac:dyDescent="0.25">
      <c r="B32" s="12" t="s">
        <v>21</v>
      </c>
      <c r="C32" s="12" t="s">
        <v>29</v>
      </c>
      <c r="D32" s="13"/>
      <c r="E32" s="12"/>
      <c r="F32" s="12"/>
      <c r="G32" s="12"/>
      <c r="H32" s="12"/>
      <c r="I32" s="12"/>
      <c r="J32" s="12"/>
    </row>
    <row r="33" spans="2:10" x14ac:dyDescent="0.25">
      <c r="B33" s="7" t="s">
        <v>30</v>
      </c>
      <c r="C33" s="7" t="s">
        <v>31</v>
      </c>
      <c r="D33" s="7" t="s">
        <v>32</v>
      </c>
      <c r="E33" s="8">
        <v>1</v>
      </c>
      <c r="F33" s="6"/>
      <c r="G33" s="6"/>
      <c r="H33" s="10"/>
      <c r="I33" s="6" t="s">
        <v>19</v>
      </c>
      <c r="J33" s="6" t="s">
        <v>25</v>
      </c>
    </row>
    <row r="34" spans="2:10" x14ac:dyDescent="0.25">
      <c r="B34" s="7" t="s">
        <v>30</v>
      </c>
      <c r="C34" s="7" t="s">
        <v>547</v>
      </c>
      <c r="D34" s="7" t="s">
        <v>32</v>
      </c>
      <c r="E34" s="8">
        <v>1</v>
      </c>
      <c r="F34" s="6"/>
      <c r="G34" s="6"/>
      <c r="H34" s="10"/>
      <c r="I34" s="6" t="s">
        <v>19</v>
      </c>
      <c r="J34" s="6" t="s">
        <v>33</v>
      </c>
    </row>
    <row r="35" spans="2:10" x14ac:dyDescent="0.25">
      <c r="B35" s="12" t="s">
        <v>21</v>
      </c>
      <c r="C35" s="12" t="s">
        <v>548</v>
      </c>
      <c r="D35" s="13"/>
      <c r="E35" s="12"/>
      <c r="F35" s="12"/>
      <c r="G35" s="12"/>
      <c r="H35" s="12"/>
      <c r="I35" s="12"/>
      <c r="J35" s="12"/>
    </row>
    <row r="36" spans="2:10" x14ac:dyDescent="0.25">
      <c r="B36" s="7" t="s">
        <v>30</v>
      </c>
      <c r="C36" s="7" t="s">
        <v>34</v>
      </c>
      <c r="D36" s="7" t="s">
        <v>32</v>
      </c>
      <c r="E36" s="8">
        <v>1</v>
      </c>
      <c r="F36" s="6"/>
      <c r="G36" s="6"/>
      <c r="H36" s="10"/>
      <c r="I36" s="6" t="s">
        <v>19</v>
      </c>
      <c r="J36" s="6" t="s">
        <v>35</v>
      </c>
    </row>
    <row r="37" spans="2:10" x14ac:dyDescent="0.25">
      <c r="B37" s="7" t="s">
        <v>30</v>
      </c>
      <c r="C37" s="7" t="s">
        <v>36</v>
      </c>
      <c r="D37" s="7" t="s">
        <v>32</v>
      </c>
      <c r="E37" s="8">
        <v>32</v>
      </c>
      <c r="F37" s="6"/>
      <c r="G37" s="6"/>
      <c r="H37" s="10"/>
      <c r="I37" s="6" t="s">
        <v>19</v>
      </c>
      <c r="J37" s="6" t="s">
        <v>37</v>
      </c>
    </row>
    <row r="38" spans="2:10" x14ac:dyDescent="0.25">
      <c r="B38" s="7" t="s">
        <v>30</v>
      </c>
      <c r="C38" s="7" t="s">
        <v>38</v>
      </c>
      <c r="D38" s="7" t="s">
        <v>549</v>
      </c>
      <c r="E38" s="8" t="s">
        <v>39</v>
      </c>
      <c r="F38" s="6" t="s">
        <v>40</v>
      </c>
      <c r="G38" s="8" t="s">
        <v>31</v>
      </c>
      <c r="H38" s="11" t="s">
        <v>550</v>
      </c>
      <c r="I38" s="6" t="s">
        <v>19</v>
      </c>
      <c r="J38" s="14" t="s">
        <v>41</v>
      </c>
    </row>
    <row r="39" spans="2:10" x14ac:dyDescent="0.25">
      <c r="B39" s="12" t="s">
        <v>21</v>
      </c>
      <c r="C39" s="12" t="s">
        <v>42</v>
      </c>
      <c r="D39" s="13"/>
      <c r="E39" s="12"/>
      <c r="F39" s="12"/>
      <c r="G39" s="12"/>
      <c r="H39" s="12"/>
      <c r="I39" s="12"/>
      <c r="J39" s="12"/>
    </row>
    <row r="40" spans="2:10" x14ac:dyDescent="0.25">
      <c r="B40" s="7" t="s">
        <v>30</v>
      </c>
      <c r="C40" s="7" t="s">
        <v>43</v>
      </c>
      <c r="D40" s="7" t="s">
        <v>549</v>
      </c>
      <c r="E40" s="8">
        <v>1</v>
      </c>
      <c r="F40" s="6" t="s">
        <v>40</v>
      </c>
      <c r="G40" s="6" t="s">
        <v>31</v>
      </c>
      <c r="H40" s="11" t="s">
        <v>550</v>
      </c>
      <c r="I40" s="6" t="s">
        <v>19</v>
      </c>
      <c r="J40" s="6" t="s">
        <v>35</v>
      </c>
    </row>
    <row r="41" spans="2:10" x14ac:dyDescent="0.25">
      <c r="B41" s="7" t="s">
        <v>30</v>
      </c>
      <c r="C41" s="7" t="s">
        <v>44</v>
      </c>
      <c r="D41" s="7" t="s">
        <v>549</v>
      </c>
      <c r="E41" s="8" t="s">
        <v>52</v>
      </c>
      <c r="F41" s="6" t="s">
        <v>40</v>
      </c>
      <c r="G41" s="6" t="s">
        <v>31</v>
      </c>
      <c r="H41" s="11" t="s">
        <v>551</v>
      </c>
      <c r="I41" s="6" t="s">
        <v>19</v>
      </c>
      <c r="J41" s="6" t="s">
        <v>45</v>
      </c>
    </row>
    <row r="42" spans="2:10" x14ac:dyDescent="0.25">
      <c r="B42" s="7" t="s">
        <v>30</v>
      </c>
      <c r="C42" s="7" t="s">
        <v>46</v>
      </c>
      <c r="D42" s="7" t="s">
        <v>549</v>
      </c>
      <c r="E42" s="8" t="s">
        <v>52</v>
      </c>
      <c r="F42" s="6" t="s">
        <v>40</v>
      </c>
      <c r="G42" s="6" t="s">
        <v>31</v>
      </c>
      <c r="H42" s="11" t="s">
        <v>551</v>
      </c>
      <c r="I42" s="6" t="s">
        <v>19</v>
      </c>
      <c r="J42" s="6" t="s">
        <v>47</v>
      </c>
    </row>
    <row r="43" spans="2:10" x14ac:dyDescent="0.25">
      <c r="B43" s="7" t="s">
        <v>30</v>
      </c>
      <c r="C43" s="7" t="s">
        <v>48</v>
      </c>
      <c r="D43" s="7" t="s">
        <v>223</v>
      </c>
      <c r="E43" s="8">
        <v>1</v>
      </c>
      <c r="F43" s="7"/>
      <c r="G43" s="7"/>
      <c r="H43" s="7"/>
      <c r="I43" s="6" t="s">
        <v>19</v>
      </c>
      <c r="J43" s="6" t="s">
        <v>41</v>
      </c>
    </row>
    <row r="44" spans="2:10" x14ac:dyDescent="0.25">
      <c r="B44" s="7"/>
      <c r="C44" s="7"/>
      <c r="D44" s="7"/>
      <c r="E44" s="7"/>
      <c r="F44" s="7"/>
      <c r="G44" s="7"/>
      <c r="H44" s="7"/>
      <c r="I44" s="7"/>
      <c r="J44" s="7"/>
    </row>
    <row r="45" spans="2:10" x14ac:dyDescent="0.25">
      <c r="B45" s="12" t="s">
        <v>19</v>
      </c>
      <c r="C45" s="12" t="s">
        <v>49</v>
      </c>
      <c r="D45" s="13"/>
      <c r="E45" s="12"/>
      <c r="F45" s="12"/>
      <c r="G45" s="12"/>
      <c r="H45" s="12"/>
      <c r="I45" s="12"/>
      <c r="J45" s="12"/>
    </row>
    <row r="46" spans="2:10" x14ac:dyDescent="0.25">
      <c r="B46" s="11" t="s">
        <v>50</v>
      </c>
      <c r="C46" s="8" t="s">
        <v>51</v>
      </c>
      <c r="D46" s="8" t="s">
        <v>52</v>
      </c>
      <c r="E46" s="6" t="s">
        <v>31</v>
      </c>
      <c r="F46" s="11" t="s">
        <v>551</v>
      </c>
      <c r="G46" s="11"/>
      <c r="H46" s="11"/>
      <c r="I46" s="11" t="s">
        <v>19</v>
      </c>
      <c r="J46" s="11" t="s">
        <v>45</v>
      </c>
    </row>
    <row r="47" spans="2:10" x14ac:dyDescent="0.25">
      <c r="B47" s="7"/>
      <c r="C47" s="7"/>
      <c r="D47" s="7"/>
      <c r="E47" s="7"/>
      <c r="F47" s="7"/>
      <c r="G47" s="7"/>
      <c r="H47" s="7"/>
      <c r="I47" s="7"/>
      <c r="J47" s="7"/>
    </row>
    <row r="48" spans="2:10" x14ac:dyDescent="0.25">
      <c r="B48" s="15" t="s">
        <v>246</v>
      </c>
      <c r="C48" s="15" t="s">
        <v>552</v>
      </c>
      <c r="D48" s="15" t="s">
        <v>31</v>
      </c>
      <c r="E48" s="16" t="s">
        <v>553</v>
      </c>
      <c r="F48" s="17"/>
      <c r="G48" s="7"/>
      <c r="H48" s="7"/>
      <c r="I48" s="7"/>
      <c r="J48" s="7"/>
    </row>
    <row r="49" spans="2:10" x14ac:dyDescent="0.25">
      <c r="B49" s="18" t="s">
        <v>53</v>
      </c>
      <c r="C49" s="18" t="s">
        <v>554</v>
      </c>
      <c r="D49" s="18"/>
      <c r="E49" s="18"/>
      <c r="F49" s="19"/>
      <c r="G49" s="7"/>
      <c r="H49" s="7"/>
      <c r="I49" s="7"/>
      <c r="J49" s="7"/>
    </row>
    <row r="50" spans="2:10" x14ac:dyDescent="0.25">
      <c r="B50" s="7" t="s">
        <v>12</v>
      </c>
      <c r="C50" s="7" t="s">
        <v>555</v>
      </c>
      <c r="D50" s="7"/>
      <c r="E50" s="7"/>
      <c r="F50" s="7"/>
      <c r="G50" s="7"/>
      <c r="H50" s="7"/>
      <c r="I50" s="7"/>
      <c r="J50" s="7"/>
    </row>
    <row r="51" spans="2:10" x14ac:dyDescent="0.25">
      <c r="B51" s="7"/>
      <c r="C51" s="7" t="s">
        <v>125</v>
      </c>
      <c r="D51" s="7" t="s">
        <v>556</v>
      </c>
      <c r="E51" s="7"/>
      <c r="F51" s="7"/>
      <c r="G51" s="7"/>
      <c r="H51" s="7"/>
      <c r="I51" s="7"/>
      <c r="J51" s="7"/>
    </row>
    <row r="52" spans="2:10" x14ac:dyDescent="0.25">
      <c r="B52" s="7"/>
      <c r="C52" s="7" t="s">
        <v>10</v>
      </c>
      <c r="D52" s="7" t="s">
        <v>198</v>
      </c>
      <c r="E52" s="7"/>
      <c r="F52" s="7"/>
      <c r="G52" s="7"/>
      <c r="H52" s="7"/>
      <c r="I52" s="7"/>
      <c r="J52" s="7"/>
    </row>
    <row r="53" spans="2:10" x14ac:dyDescent="0.25">
      <c r="B53" s="7" t="s">
        <v>11</v>
      </c>
      <c r="C53" s="7"/>
      <c r="D53" s="7"/>
      <c r="E53" s="7"/>
      <c r="F53" s="7"/>
      <c r="G53" s="7"/>
      <c r="H53" s="7"/>
      <c r="I53" s="7"/>
      <c r="J53" s="7"/>
    </row>
    <row r="54" spans="2:10" x14ac:dyDescent="0.25">
      <c r="B54" s="18" t="s">
        <v>53</v>
      </c>
      <c r="C54" s="18" t="s">
        <v>198</v>
      </c>
      <c r="D54" s="18"/>
      <c r="E54" s="18"/>
      <c r="F54" s="19"/>
      <c r="G54" s="7"/>
      <c r="H54" s="7"/>
      <c r="I54" s="7"/>
      <c r="J54" s="7"/>
    </row>
    <row r="55" spans="2:10" x14ac:dyDescent="0.25">
      <c r="B55" s="7" t="s">
        <v>125</v>
      </c>
      <c r="C55" s="7" t="s">
        <v>557</v>
      </c>
      <c r="D55" s="7"/>
      <c r="E55" s="7"/>
      <c r="F55" s="7"/>
      <c r="G55" s="7"/>
      <c r="H55" s="7"/>
      <c r="I55" s="7"/>
      <c r="J55" s="7"/>
    </row>
    <row r="56" spans="2:10" x14ac:dyDescent="0.25">
      <c r="B56" s="7" t="s">
        <v>125</v>
      </c>
      <c r="C56" s="7" t="s">
        <v>558</v>
      </c>
      <c r="D56" s="7"/>
      <c r="E56" s="7"/>
      <c r="F56" s="7"/>
      <c r="G56" s="7"/>
      <c r="H56" s="7"/>
      <c r="I56" s="7"/>
      <c r="J56" s="7"/>
    </row>
    <row r="57" spans="2:10" x14ac:dyDescent="0.25">
      <c r="B57" s="7" t="s">
        <v>13</v>
      </c>
      <c r="C57" s="7" t="s">
        <v>43</v>
      </c>
      <c r="D57" s="7" t="s">
        <v>128</v>
      </c>
      <c r="E57" s="7" t="s">
        <v>129</v>
      </c>
      <c r="F57" s="7"/>
      <c r="G57" s="7"/>
      <c r="H57" s="7"/>
      <c r="I57" s="7"/>
      <c r="J57" s="7"/>
    </row>
    <row r="58" spans="2:10" x14ac:dyDescent="0.25">
      <c r="B58" s="7" t="s">
        <v>10</v>
      </c>
      <c r="C58" s="7" t="s">
        <v>148</v>
      </c>
      <c r="D58" s="7"/>
      <c r="E58" s="7"/>
      <c r="F58" s="7"/>
      <c r="G58" s="7"/>
      <c r="H58" s="7"/>
      <c r="I58" s="7"/>
      <c r="J58" s="7"/>
    </row>
    <row r="59" spans="2:10" x14ac:dyDescent="0.25">
      <c r="B59" s="7"/>
      <c r="C59" s="7"/>
      <c r="D59" s="7"/>
      <c r="E59" s="7"/>
      <c r="F59" s="7"/>
      <c r="G59" s="7"/>
      <c r="H59" s="7"/>
      <c r="I59" s="7"/>
      <c r="J59" s="7"/>
    </row>
    <row r="60" spans="2:10" x14ac:dyDescent="0.25">
      <c r="B60" s="18" t="s">
        <v>53</v>
      </c>
      <c r="C60" s="18" t="s">
        <v>148</v>
      </c>
      <c r="D60" s="18"/>
      <c r="E60" s="18"/>
      <c r="F60" s="19"/>
      <c r="G60" s="7"/>
      <c r="H60" s="7"/>
      <c r="I60" s="7"/>
      <c r="J60" s="7"/>
    </row>
    <row r="61" spans="2:10" x14ac:dyDescent="0.25">
      <c r="B61" s="7" t="s">
        <v>12</v>
      </c>
      <c r="C61" s="7" t="s">
        <v>559</v>
      </c>
      <c r="D61" s="7"/>
      <c r="E61" s="7"/>
      <c r="F61" s="7"/>
      <c r="G61" s="7"/>
      <c r="H61" s="7"/>
      <c r="I61" s="7"/>
      <c r="J61" s="7"/>
    </row>
    <row r="62" spans="2:10" x14ac:dyDescent="0.25">
      <c r="B62" s="7"/>
      <c r="C62" s="7" t="s">
        <v>13</v>
      </c>
      <c r="D62" s="7" t="s">
        <v>38</v>
      </c>
      <c r="E62" s="7" t="s">
        <v>128</v>
      </c>
      <c r="F62" s="7" t="s">
        <v>129</v>
      </c>
      <c r="G62" s="7"/>
      <c r="H62" s="7"/>
      <c r="I62" s="7"/>
      <c r="J62" s="7"/>
    </row>
    <row r="63" spans="2:10" x14ac:dyDescent="0.25">
      <c r="B63" s="7"/>
      <c r="C63" s="7" t="s">
        <v>125</v>
      </c>
      <c r="D63" s="7" t="s">
        <v>560</v>
      </c>
      <c r="E63" s="7"/>
      <c r="F63" s="7"/>
      <c r="G63" s="7"/>
      <c r="H63" s="7"/>
      <c r="I63" s="7"/>
      <c r="J63" s="7"/>
    </row>
    <row r="64" spans="2:10" x14ac:dyDescent="0.25">
      <c r="B64" s="7"/>
      <c r="C64" s="7" t="s">
        <v>125</v>
      </c>
      <c r="D64" s="7" t="s">
        <v>561</v>
      </c>
      <c r="E64" s="7"/>
      <c r="F64" s="7"/>
      <c r="G64" s="7"/>
      <c r="H64" s="7"/>
      <c r="I64" s="7"/>
      <c r="J64" s="7"/>
    </row>
    <row r="65" spans="1:10" x14ac:dyDescent="0.25">
      <c r="B65" s="7"/>
      <c r="C65" s="7" t="s">
        <v>10</v>
      </c>
      <c r="D65" s="7" t="s">
        <v>562</v>
      </c>
      <c r="E65" s="7"/>
      <c r="F65" s="7"/>
      <c r="G65" s="7"/>
      <c r="H65" s="7"/>
      <c r="I65" s="7"/>
      <c r="J65" s="7"/>
    </row>
    <row r="66" spans="1:10" x14ac:dyDescent="0.25">
      <c r="B66" s="7" t="s">
        <v>11</v>
      </c>
      <c r="C66" s="7"/>
      <c r="D66" s="7"/>
      <c r="E66" s="7"/>
      <c r="F66" s="7"/>
      <c r="G66" s="7"/>
      <c r="H66" s="7"/>
      <c r="I66" s="7"/>
      <c r="J66" s="7"/>
    </row>
    <row r="67" spans="1:10" x14ac:dyDescent="0.25">
      <c r="B67" s="7"/>
      <c r="C67" s="7"/>
      <c r="D67" s="7"/>
      <c r="E67" s="7"/>
      <c r="F67" s="7"/>
      <c r="G67" s="7"/>
      <c r="H67" s="7"/>
      <c r="I67" s="7"/>
      <c r="J67" s="7"/>
    </row>
    <row r="68" spans="1:10" x14ac:dyDescent="0.25">
      <c r="B68" s="18" t="s">
        <v>53</v>
      </c>
      <c r="C68" s="18" t="s">
        <v>562</v>
      </c>
      <c r="D68" s="18"/>
      <c r="E68" s="18"/>
      <c r="F68" s="19"/>
      <c r="G68" s="7"/>
      <c r="H68" s="7"/>
      <c r="I68" s="7"/>
      <c r="J68" s="7"/>
    </row>
    <row r="69" spans="1:10" x14ac:dyDescent="0.25">
      <c r="B69" s="7" t="s">
        <v>10</v>
      </c>
      <c r="C69" s="7" t="s">
        <v>554</v>
      </c>
      <c r="D69" s="7"/>
      <c r="E69" s="7"/>
      <c r="F69" s="7"/>
      <c r="G69" s="7"/>
      <c r="H69" s="7"/>
      <c r="I69" s="7"/>
      <c r="J69" s="7"/>
    </row>
    <row r="71" spans="1:10" x14ac:dyDescent="0.25">
      <c r="A71" s="3" t="s">
        <v>564</v>
      </c>
    </row>
    <row r="72" spans="1:10" x14ac:dyDescent="0.25">
      <c r="B72" s="11" t="s">
        <v>27</v>
      </c>
      <c r="C72" s="11" t="s">
        <v>31</v>
      </c>
      <c r="D72" s="8"/>
      <c r="E72" s="11"/>
      <c r="F72" s="11"/>
      <c r="G72" s="11"/>
      <c r="H72" s="11"/>
    </row>
    <row r="73" spans="1:10" x14ac:dyDescent="0.25">
      <c r="B73" s="12" t="s">
        <v>21</v>
      </c>
      <c r="C73" s="12" t="s">
        <v>54</v>
      </c>
      <c r="D73" s="13"/>
      <c r="E73" s="12"/>
      <c r="F73" s="12"/>
      <c r="G73" s="12"/>
      <c r="H73" s="12"/>
    </row>
    <row r="74" spans="1:10" x14ac:dyDescent="0.25">
      <c r="B74" s="7" t="s">
        <v>30</v>
      </c>
      <c r="C74" s="7" t="s">
        <v>31</v>
      </c>
      <c r="D74" s="7" t="s">
        <v>549</v>
      </c>
      <c r="E74" s="8">
        <v>1</v>
      </c>
      <c r="F74" s="6" t="s">
        <v>563</v>
      </c>
      <c r="G74" s="6" t="s">
        <v>19</v>
      </c>
      <c r="H74" s="6" t="s">
        <v>55</v>
      </c>
    </row>
    <row r="75" spans="1:10" x14ac:dyDescent="0.25">
      <c r="B75" s="7" t="s">
        <v>30</v>
      </c>
      <c r="C75" s="7" t="s">
        <v>64</v>
      </c>
      <c r="D75" s="7" t="s">
        <v>549</v>
      </c>
      <c r="E75" s="8">
        <v>1</v>
      </c>
      <c r="F75" s="6" t="s">
        <v>563</v>
      </c>
      <c r="G75" s="6" t="s">
        <v>19</v>
      </c>
      <c r="H75" s="6" t="s">
        <v>56</v>
      </c>
    </row>
    <row r="76" spans="1:10" x14ac:dyDescent="0.25">
      <c r="B76" s="11"/>
      <c r="C76" s="11"/>
      <c r="D76" s="8"/>
      <c r="E76" s="11"/>
      <c r="F76" s="11"/>
      <c r="G76" s="11"/>
      <c r="H76" s="11"/>
    </row>
    <row r="77" spans="1:10" x14ac:dyDescent="0.25">
      <c r="B77" s="12" t="s">
        <v>19</v>
      </c>
      <c r="C77" s="12" t="s">
        <v>57</v>
      </c>
      <c r="D77" s="12" t="s">
        <v>58</v>
      </c>
      <c r="E77" s="12" t="s">
        <v>59</v>
      </c>
      <c r="F77" s="12" t="s">
        <v>60</v>
      </c>
      <c r="G77" s="12" t="s">
        <v>61</v>
      </c>
      <c r="H77" s="12" t="s">
        <v>62</v>
      </c>
    </row>
    <row r="78" spans="1:10" x14ac:dyDescent="0.25">
      <c r="B78" s="11" t="s">
        <v>63</v>
      </c>
      <c r="C78" s="7" t="str">
        <f>CONCATENATE("_",H78)</f>
        <v>_clk</v>
      </c>
      <c r="D78" s="11">
        <v>3000</v>
      </c>
      <c r="E78" s="11">
        <v>500</v>
      </c>
      <c r="F78" s="11">
        <f>D78/2</f>
        <v>1500</v>
      </c>
      <c r="G78" s="11">
        <v>0</v>
      </c>
      <c r="H78" s="11" t="s">
        <v>31</v>
      </c>
    </row>
    <row r="79" spans="1:10" x14ac:dyDescent="0.25">
      <c r="B79" s="11" t="s">
        <v>63</v>
      </c>
      <c r="C79" s="7" t="str">
        <f>CONCATENATE("_",H79)</f>
        <v>_clko</v>
      </c>
      <c r="D79" s="11">
        <v>3000</v>
      </c>
      <c r="E79" s="11">
        <v>550</v>
      </c>
      <c r="F79" s="11">
        <f>D79/2</f>
        <v>1500</v>
      </c>
      <c r="G79" s="11">
        <v>0</v>
      </c>
      <c r="H79" s="11" t="s">
        <v>64</v>
      </c>
    </row>
    <row r="81" spans="1:8" x14ac:dyDescent="0.25">
      <c r="A81" s="3" t="s">
        <v>565</v>
      </c>
    </row>
    <row r="82" spans="1:8" x14ac:dyDescent="0.25">
      <c r="B82" s="7" t="s">
        <v>65</v>
      </c>
      <c r="C82" s="7" t="s">
        <v>66</v>
      </c>
      <c r="D82" s="7"/>
    </row>
    <row r="83" spans="1:8" x14ac:dyDescent="0.25">
      <c r="B83" s="7" t="s">
        <v>20</v>
      </c>
      <c r="C83" s="7" t="s">
        <v>67</v>
      </c>
      <c r="D83" s="7"/>
    </row>
    <row r="84" spans="1:8" x14ac:dyDescent="0.25">
      <c r="B84" s="7" t="s">
        <v>68</v>
      </c>
      <c r="C84" s="7" t="s">
        <v>69</v>
      </c>
      <c r="D84" s="7"/>
    </row>
    <row r="85" spans="1:8" x14ac:dyDescent="0.25">
      <c r="B85" s="11"/>
      <c r="C85" s="11"/>
      <c r="D85" s="11"/>
    </row>
    <row r="86" spans="1:8" x14ac:dyDescent="0.25">
      <c r="B86" s="17" t="s">
        <v>19</v>
      </c>
      <c r="C86" s="17" t="s">
        <v>70</v>
      </c>
      <c r="D86" s="17" t="s">
        <v>46</v>
      </c>
    </row>
    <row r="87" spans="1:8" x14ac:dyDescent="0.25">
      <c r="B87" s="7" t="s">
        <v>71</v>
      </c>
      <c r="C87" s="7" t="s">
        <v>72</v>
      </c>
      <c r="D87" s="7" t="s">
        <v>73</v>
      </c>
    </row>
    <row r="88" spans="1:8" x14ac:dyDescent="0.25">
      <c r="B88" s="7" t="s">
        <v>71</v>
      </c>
      <c r="C88" s="7" t="s">
        <v>74</v>
      </c>
      <c r="D88" s="7" t="s">
        <v>75</v>
      </c>
    </row>
    <row r="89" spans="1:8" x14ac:dyDescent="0.25">
      <c r="B89" s="7" t="s">
        <v>71</v>
      </c>
      <c r="C89" s="7" t="s">
        <v>76</v>
      </c>
      <c r="D89" s="7" t="s">
        <v>77</v>
      </c>
    </row>
    <row r="90" spans="1:8" x14ac:dyDescent="0.25">
      <c r="B90" s="7" t="s">
        <v>71</v>
      </c>
      <c r="C90" s="7" t="s">
        <v>78</v>
      </c>
      <c r="D90" s="7" t="s">
        <v>79</v>
      </c>
    </row>
    <row r="91" spans="1:8" x14ac:dyDescent="0.25">
      <c r="B91" s="7"/>
      <c r="C91" s="7"/>
      <c r="D91" s="7"/>
    </row>
    <row r="92" spans="1:8" x14ac:dyDescent="0.25">
      <c r="B92" s="17" t="s">
        <v>19</v>
      </c>
      <c r="C92" s="17" t="s">
        <v>80</v>
      </c>
      <c r="D92" s="7"/>
    </row>
    <row r="93" spans="1:8" x14ac:dyDescent="0.25">
      <c r="B93" s="7" t="s">
        <v>81</v>
      </c>
      <c r="C93" s="7">
        <v>50</v>
      </c>
      <c r="D93" s="7"/>
    </row>
    <row r="95" spans="1:8" x14ac:dyDescent="0.25">
      <c r="A95" s="3" t="s">
        <v>566</v>
      </c>
    </row>
    <row r="96" spans="1:8" x14ac:dyDescent="0.25">
      <c r="B96" s="11" t="s">
        <v>65</v>
      </c>
      <c r="C96" s="11"/>
      <c r="D96" s="8" t="s">
        <v>19</v>
      </c>
      <c r="E96" s="11" t="s">
        <v>82</v>
      </c>
      <c r="F96" s="11"/>
      <c r="G96" s="11"/>
      <c r="H96" s="11"/>
    </row>
    <row r="97" spans="2:9" x14ac:dyDescent="0.25">
      <c r="B97" s="8" t="s">
        <v>83</v>
      </c>
      <c r="C97" s="8">
        <v>99</v>
      </c>
      <c r="D97" s="8"/>
      <c r="E97" s="8"/>
      <c r="F97" s="8"/>
      <c r="G97" s="8"/>
      <c r="H97" s="8"/>
    </row>
    <row r="98" spans="2:9" x14ac:dyDescent="0.25">
      <c r="B98" s="8" t="s">
        <v>84</v>
      </c>
      <c r="C98" s="8">
        <v>10</v>
      </c>
      <c r="D98" s="8"/>
      <c r="E98" s="8"/>
      <c r="F98" s="8"/>
      <c r="G98" s="8"/>
      <c r="H98" s="8"/>
    </row>
    <row r="99" spans="2:9" x14ac:dyDescent="0.25">
      <c r="B99" s="11"/>
      <c r="C99" s="11"/>
      <c r="D99" s="11"/>
      <c r="E99" s="11"/>
      <c r="F99" s="11"/>
      <c r="G99" s="11"/>
      <c r="H99" s="11"/>
    </row>
    <row r="100" spans="2:9" x14ac:dyDescent="0.25">
      <c r="B100" s="16" t="s">
        <v>19</v>
      </c>
      <c r="C100" s="16" t="s">
        <v>85</v>
      </c>
      <c r="D100" s="16"/>
      <c r="E100" s="16"/>
      <c r="F100" s="16"/>
      <c r="G100" s="11"/>
      <c r="H100" s="11"/>
    </row>
    <row r="101" spans="2:9" x14ac:dyDescent="0.25">
      <c r="B101" s="12" t="s">
        <v>86</v>
      </c>
      <c r="C101" s="13" t="s">
        <v>87</v>
      </c>
      <c r="D101" s="13"/>
      <c r="E101" s="13"/>
      <c r="F101" s="13"/>
      <c r="G101" s="11"/>
      <c r="H101" s="11"/>
    </row>
    <row r="102" spans="2:9" x14ac:dyDescent="0.25">
      <c r="B102" s="8" t="s">
        <v>88</v>
      </c>
      <c r="C102" s="8">
        <v>500</v>
      </c>
      <c r="D102" s="8"/>
      <c r="E102" s="8" t="s">
        <v>19</v>
      </c>
      <c r="F102" s="8" t="s">
        <v>89</v>
      </c>
      <c r="G102" s="11"/>
      <c r="H102" s="11"/>
    </row>
    <row r="103" spans="2:9" x14ac:dyDescent="0.25">
      <c r="B103" s="11" t="s">
        <v>90</v>
      </c>
      <c r="C103" s="8" t="s">
        <v>91</v>
      </c>
      <c r="D103" s="8">
        <v>32</v>
      </c>
      <c r="E103" s="8" t="s">
        <v>19</v>
      </c>
      <c r="F103" s="8" t="s">
        <v>45</v>
      </c>
      <c r="G103" s="11"/>
      <c r="H103" s="11"/>
    </row>
    <row r="104" spans="2:9" x14ac:dyDescent="0.25">
      <c r="B104" s="11" t="s">
        <v>90</v>
      </c>
      <c r="C104" s="21" t="s">
        <v>92</v>
      </c>
      <c r="D104" s="8">
        <v>32</v>
      </c>
      <c r="E104" s="8" t="s">
        <v>19</v>
      </c>
      <c r="F104" s="8" t="s">
        <v>47</v>
      </c>
      <c r="G104" s="11"/>
      <c r="H104" s="11"/>
      <c r="I104" s="9"/>
    </row>
    <row r="105" spans="2:9" x14ac:dyDescent="0.25">
      <c r="B105" s="11" t="s">
        <v>90</v>
      </c>
      <c r="C105" s="21" t="s">
        <v>93</v>
      </c>
      <c r="D105" s="8">
        <v>8</v>
      </c>
      <c r="E105" s="8" t="s">
        <v>19</v>
      </c>
      <c r="F105" s="8" t="s">
        <v>94</v>
      </c>
      <c r="G105" s="11"/>
      <c r="H105" s="11"/>
      <c r="I105" s="9"/>
    </row>
    <row r="106" spans="2:9" x14ac:dyDescent="0.25">
      <c r="B106" s="12" t="s">
        <v>86</v>
      </c>
      <c r="C106" s="13" t="s">
        <v>95</v>
      </c>
      <c r="D106" s="13"/>
      <c r="E106" s="13"/>
      <c r="F106" s="13"/>
      <c r="G106" s="11"/>
      <c r="H106" s="11"/>
      <c r="I106" s="9"/>
    </row>
    <row r="107" spans="2:9" x14ac:dyDescent="0.25">
      <c r="B107" s="8" t="s">
        <v>88</v>
      </c>
      <c r="C107" s="8">
        <v>500</v>
      </c>
      <c r="D107" s="8"/>
      <c r="E107" s="8" t="s">
        <v>19</v>
      </c>
      <c r="F107" s="8" t="s">
        <v>89</v>
      </c>
      <c r="G107" s="11"/>
      <c r="H107" s="11"/>
      <c r="I107" s="9"/>
    </row>
    <row r="108" spans="2:9" x14ac:dyDescent="0.25">
      <c r="B108" s="11" t="s">
        <v>90</v>
      </c>
      <c r="C108" s="8" t="s">
        <v>96</v>
      </c>
      <c r="D108" s="8">
        <v>8</v>
      </c>
      <c r="E108" s="8" t="s">
        <v>19</v>
      </c>
      <c r="F108" s="8" t="s">
        <v>97</v>
      </c>
      <c r="G108" s="11"/>
      <c r="H108" s="11"/>
      <c r="I108" s="9"/>
    </row>
    <row r="109" spans="2:9" x14ac:dyDescent="0.25">
      <c r="B109" s="11"/>
      <c r="C109" s="11"/>
      <c r="D109" s="11"/>
      <c r="E109" s="11"/>
      <c r="F109" s="11"/>
      <c r="G109" s="11"/>
      <c r="H109" s="11"/>
      <c r="I109" s="9"/>
    </row>
    <row r="110" spans="2:9" x14ac:dyDescent="0.25">
      <c r="B110" s="16" t="s">
        <v>19</v>
      </c>
      <c r="C110" s="16" t="s">
        <v>98</v>
      </c>
      <c r="D110" s="16"/>
      <c r="E110" s="16"/>
      <c r="F110" s="11"/>
      <c r="G110" s="11"/>
      <c r="H110" s="11"/>
      <c r="I110" s="9"/>
    </row>
    <row r="111" spans="2:9" x14ac:dyDescent="0.25">
      <c r="B111" s="8" t="s">
        <v>99</v>
      </c>
      <c r="C111" s="8"/>
      <c r="D111" s="8"/>
      <c r="E111" s="8"/>
      <c r="F111" s="11"/>
      <c r="G111" s="11"/>
      <c r="H111" s="11"/>
      <c r="I111" s="9"/>
    </row>
    <row r="112" spans="2:9" x14ac:dyDescent="0.25">
      <c r="B112" s="8" t="s">
        <v>68</v>
      </c>
      <c r="C112" s="8" t="s">
        <v>100</v>
      </c>
      <c r="D112" s="8"/>
      <c r="E112" s="8"/>
      <c r="F112" s="11"/>
      <c r="G112" s="11"/>
      <c r="H112" s="11"/>
      <c r="I112" s="9"/>
    </row>
    <row r="113" spans="2:9" x14ac:dyDescent="0.25">
      <c r="B113" s="11" t="s">
        <v>101</v>
      </c>
      <c r="C113" s="11"/>
      <c r="D113" s="11"/>
      <c r="E113" s="11"/>
      <c r="F113" s="11"/>
      <c r="G113" s="11"/>
      <c r="H113" s="11"/>
      <c r="I113" s="9"/>
    </row>
    <row r="114" spans="2:9" x14ac:dyDescent="0.25">
      <c r="B114" s="11" t="s">
        <v>68</v>
      </c>
      <c r="C114" s="11" t="s">
        <v>102</v>
      </c>
      <c r="D114" s="11"/>
      <c r="E114" s="11"/>
      <c r="F114" s="11"/>
      <c r="G114" s="11"/>
      <c r="H114" s="11"/>
      <c r="I114" s="9"/>
    </row>
    <row r="115" spans="2:9" x14ac:dyDescent="0.25">
      <c r="B115" s="11" t="s">
        <v>101</v>
      </c>
      <c r="C115" s="11"/>
      <c r="D115" s="11"/>
      <c r="E115" s="11"/>
      <c r="F115" s="11"/>
      <c r="G115" s="11"/>
      <c r="H115" s="11"/>
      <c r="I115" s="9"/>
    </row>
    <row r="116" spans="2:9" x14ac:dyDescent="0.25">
      <c r="B116" s="11" t="s">
        <v>68</v>
      </c>
      <c r="C116" s="11" t="s">
        <v>103</v>
      </c>
      <c r="D116" s="11"/>
      <c r="E116" s="11"/>
      <c r="F116" s="11"/>
      <c r="G116" s="11"/>
      <c r="H116" s="11"/>
      <c r="I116" s="9"/>
    </row>
    <row r="117" spans="2:9" x14ac:dyDescent="0.25">
      <c r="B117" s="11" t="s">
        <v>68</v>
      </c>
      <c r="C117" s="11" t="s">
        <v>104</v>
      </c>
      <c r="D117" s="11"/>
      <c r="E117" s="11"/>
      <c r="F117" s="11"/>
      <c r="G117" s="11"/>
      <c r="H117" s="11"/>
      <c r="I117" s="9"/>
    </row>
    <row r="118" spans="2:9" x14ac:dyDescent="0.25">
      <c r="B118" s="12" t="s">
        <v>19</v>
      </c>
      <c r="C118" s="12" t="s">
        <v>105</v>
      </c>
      <c r="D118" s="12"/>
      <c r="E118" s="12"/>
      <c r="F118" s="11"/>
      <c r="G118" s="11"/>
      <c r="H118" s="11"/>
      <c r="I118" s="9"/>
    </row>
    <row r="119" spans="2:9" x14ac:dyDescent="0.25">
      <c r="B119" s="11" t="s">
        <v>68</v>
      </c>
      <c r="C119" s="11" t="s">
        <v>106</v>
      </c>
      <c r="D119" s="11"/>
      <c r="E119" s="8"/>
      <c r="F119" s="11"/>
      <c r="G119" s="11"/>
      <c r="H119" s="11"/>
      <c r="I119" s="9"/>
    </row>
    <row r="120" spans="2:9" x14ac:dyDescent="0.25">
      <c r="B120" s="11" t="s">
        <v>68</v>
      </c>
      <c r="C120" s="8" t="s">
        <v>107</v>
      </c>
      <c r="D120" s="8"/>
      <c r="E120" s="8"/>
      <c r="F120" s="11"/>
      <c r="G120" s="11"/>
      <c r="H120" s="11"/>
      <c r="I120" s="9"/>
    </row>
    <row r="121" spans="2:9" x14ac:dyDescent="0.25">
      <c r="B121" s="11" t="s">
        <v>68</v>
      </c>
      <c r="C121" s="8" t="s">
        <v>108</v>
      </c>
      <c r="D121" s="8"/>
      <c r="E121" s="8"/>
      <c r="F121" s="11"/>
      <c r="G121" s="11"/>
      <c r="H121" s="11"/>
      <c r="I121" s="9"/>
    </row>
    <row r="122" spans="2:9" x14ac:dyDescent="0.25">
      <c r="B122" s="11" t="s">
        <v>68</v>
      </c>
      <c r="C122" s="11" t="s">
        <v>109</v>
      </c>
      <c r="D122" s="8"/>
      <c r="E122" s="8"/>
      <c r="F122" s="11"/>
      <c r="G122" s="11"/>
      <c r="H122" s="11"/>
      <c r="I122" s="9"/>
    </row>
    <row r="123" spans="2:9" x14ac:dyDescent="0.25">
      <c r="B123" s="11" t="s">
        <v>68</v>
      </c>
      <c r="C123" s="11" t="s">
        <v>110</v>
      </c>
      <c r="D123" s="11"/>
      <c r="E123" s="8"/>
      <c r="F123" s="11"/>
      <c r="G123" s="11"/>
      <c r="H123" s="11"/>
      <c r="I123" s="9"/>
    </row>
    <row r="124" spans="2:9" x14ac:dyDescent="0.25">
      <c r="B124" s="11" t="s">
        <v>68</v>
      </c>
      <c r="C124" s="11" t="s">
        <v>111</v>
      </c>
      <c r="D124" s="11"/>
      <c r="E124" s="11"/>
      <c r="F124" s="11"/>
      <c r="G124" s="11"/>
      <c r="H124" s="11"/>
      <c r="I124" s="9"/>
    </row>
    <row r="125" spans="2:9" x14ac:dyDescent="0.25">
      <c r="B125" s="11" t="s">
        <v>68</v>
      </c>
      <c r="C125" s="11" t="s">
        <v>110</v>
      </c>
      <c r="D125" s="11"/>
      <c r="E125" s="11"/>
      <c r="F125" s="11"/>
      <c r="G125" s="11"/>
      <c r="H125" s="11"/>
      <c r="I125" s="9"/>
    </row>
    <row r="126" spans="2:9" x14ac:dyDescent="0.25">
      <c r="B126" s="12" t="s">
        <v>19</v>
      </c>
      <c r="C126" s="12" t="s">
        <v>112</v>
      </c>
      <c r="D126" s="12"/>
      <c r="E126" s="12"/>
      <c r="F126" s="11"/>
      <c r="G126" s="11"/>
      <c r="H126" s="11"/>
      <c r="I126" s="9"/>
    </row>
    <row r="127" spans="2:9" x14ac:dyDescent="0.25">
      <c r="B127" s="11" t="s">
        <v>68</v>
      </c>
      <c r="C127" s="11" t="s">
        <v>113</v>
      </c>
      <c r="D127" s="11"/>
      <c r="E127" s="11"/>
      <c r="F127" s="11"/>
      <c r="G127" s="11"/>
      <c r="H127" s="11"/>
      <c r="I127" s="9"/>
    </row>
    <row r="128" spans="2:9" x14ac:dyDescent="0.25">
      <c r="B128" s="11" t="s">
        <v>68</v>
      </c>
      <c r="C128" s="11" t="s">
        <v>114</v>
      </c>
      <c r="D128" s="11"/>
      <c r="E128" s="11"/>
      <c r="F128" s="11"/>
      <c r="G128" s="11"/>
      <c r="H128" s="11"/>
      <c r="I128" s="9"/>
    </row>
    <row r="129" spans="2:9" x14ac:dyDescent="0.25">
      <c r="B129" s="11" t="s">
        <v>68</v>
      </c>
      <c r="C129" s="11" t="s">
        <v>115</v>
      </c>
      <c r="D129" s="11"/>
      <c r="E129" s="11"/>
      <c r="F129" s="11"/>
      <c r="G129" s="11"/>
      <c r="H129" s="11"/>
      <c r="I129" s="9"/>
    </row>
    <row r="130" spans="2:9" x14ac:dyDescent="0.25">
      <c r="B130" s="11" t="s">
        <v>116</v>
      </c>
      <c r="C130" s="11"/>
      <c r="D130" s="11"/>
      <c r="E130" s="11"/>
      <c r="F130" s="11"/>
      <c r="G130" s="11"/>
      <c r="H130" s="11"/>
      <c r="I130" s="9"/>
    </row>
    <row r="131" spans="2:9" x14ac:dyDescent="0.25">
      <c r="B131" s="11" t="s">
        <v>68</v>
      </c>
      <c r="C131" s="21" t="s">
        <v>117</v>
      </c>
      <c r="D131" s="11"/>
      <c r="E131" s="8"/>
      <c r="F131" s="11"/>
      <c r="G131" s="11"/>
      <c r="H131" s="11"/>
      <c r="I131" s="9"/>
    </row>
    <row r="132" spans="2:9" x14ac:dyDescent="0.25">
      <c r="B132" s="11"/>
      <c r="C132" s="11"/>
      <c r="D132" s="11"/>
      <c r="E132" s="11"/>
      <c r="F132" s="11"/>
      <c r="G132" s="11"/>
      <c r="H132" s="11"/>
      <c r="I132" s="9"/>
    </row>
    <row r="133" spans="2:9" x14ac:dyDescent="0.25">
      <c r="B133" s="16" t="s">
        <v>19</v>
      </c>
      <c r="C133" s="16" t="s">
        <v>118</v>
      </c>
      <c r="D133" s="16"/>
      <c r="E133" s="16"/>
      <c r="F133" s="16"/>
      <c r="G133" s="16"/>
      <c r="H133" s="11"/>
      <c r="I133" s="9"/>
    </row>
    <row r="134" spans="2:9" x14ac:dyDescent="0.25">
      <c r="B134" s="23" t="s">
        <v>119</v>
      </c>
      <c r="C134" s="23" t="s">
        <v>120</v>
      </c>
      <c r="D134" s="23" t="s">
        <v>31</v>
      </c>
      <c r="E134" s="23"/>
      <c r="F134" s="23"/>
      <c r="G134" s="23"/>
      <c r="H134" s="8"/>
      <c r="I134" s="20"/>
    </row>
    <row r="135" spans="2:9" x14ac:dyDescent="0.25">
      <c r="B135" s="8" t="s">
        <v>121</v>
      </c>
      <c r="C135" s="8" t="s">
        <v>80</v>
      </c>
      <c r="D135" s="8" t="s">
        <v>52</v>
      </c>
      <c r="E135" s="8" t="s">
        <v>122</v>
      </c>
      <c r="F135" s="8"/>
      <c r="G135" s="8"/>
      <c r="H135" s="8"/>
      <c r="I135" s="20"/>
    </row>
    <row r="136" spans="2:9" x14ac:dyDescent="0.25">
      <c r="B136" s="13" t="s">
        <v>53</v>
      </c>
      <c r="C136" s="13" t="s">
        <v>123</v>
      </c>
      <c r="D136" s="13"/>
      <c r="E136" s="13" t="s">
        <v>19</v>
      </c>
      <c r="F136" s="13" t="s">
        <v>124</v>
      </c>
      <c r="G136" s="13"/>
      <c r="H136" s="8"/>
      <c r="I136" s="20"/>
    </row>
    <row r="137" spans="2:9" x14ac:dyDescent="0.25">
      <c r="B137" s="8" t="s">
        <v>125</v>
      </c>
      <c r="C137" s="8" t="s">
        <v>126</v>
      </c>
      <c r="D137" s="8"/>
      <c r="E137" s="8" t="s">
        <v>19</v>
      </c>
      <c r="F137" s="8" t="s">
        <v>127</v>
      </c>
      <c r="G137" s="8"/>
      <c r="H137" s="8"/>
      <c r="I137" s="20"/>
    </row>
    <row r="138" spans="2:9" x14ac:dyDescent="0.25">
      <c r="B138" s="11" t="s">
        <v>13</v>
      </c>
      <c r="C138" s="11" t="s">
        <v>34</v>
      </c>
      <c r="D138" s="11" t="s">
        <v>64</v>
      </c>
      <c r="E138" s="11" t="s">
        <v>128</v>
      </c>
      <c r="F138" s="11" t="s">
        <v>129</v>
      </c>
      <c r="G138" s="11"/>
      <c r="H138" s="11"/>
      <c r="I138" s="9"/>
    </row>
    <row r="139" spans="2:9" x14ac:dyDescent="0.25">
      <c r="B139" s="11" t="s">
        <v>13</v>
      </c>
      <c r="C139" s="11" t="s">
        <v>36</v>
      </c>
      <c r="D139" s="11" t="s">
        <v>64</v>
      </c>
      <c r="E139" s="11" t="s">
        <v>130</v>
      </c>
      <c r="F139" s="11" t="s">
        <v>131</v>
      </c>
      <c r="G139" s="11"/>
      <c r="H139" s="11"/>
      <c r="I139" s="9"/>
    </row>
    <row r="140" spans="2:9" x14ac:dyDescent="0.25">
      <c r="B140" s="11" t="s">
        <v>125</v>
      </c>
      <c r="C140" s="11" t="s">
        <v>132</v>
      </c>
      <c r="D140" s="11"/>
      <c r="E140" s="11"/>
      <c r="F140" s="11"/>
      <c r="G140" s="11"/>
      <c r="H140" s="11"/>
      <c r="I140" s="9"/>
    </row>
    <row r="141" spans="2:9" x14ac:dyDescent="0.25">
      <c r="B141" s="11" t="s">
        <v>10</v>
      </c>
      <c r="C141" s="11" t="s">
        <v>133</v>
      </c>
      <c r="D141" s="11"/>
      <c r="E141" s="11"/>
      <c r="F141" s="11"/>
      <c r="G141" s="11"/>
      <c r="H141" s="11"/>
      <c r="I141" s="9"/>
    </row>
    <row r="142" spans="2:9" x14ac:dyDescent="0.25">
      <c r="B142" s="13" t="s">
        <v>53</v>
      </c>
      <c r="C142" s="13" t="s">
        <v>133</v>
      </c>
      <c r="D142" s="13"/>
      <c r="E142" s="13" t="s">
        <v>19</v>
      </c>
      <c r="F142" s="13" t="s">
        <v>134</v>
      </c>
      <c r="G142" s="13"/>
      <c r="H142" s="11"/>
      <c r="I142" s="9"/>
    </row>
    <row r="143" spans="2:9" x14ac:dyDescent="0.25">
      <c r="B143" s="11" t="s">
        <v>12</v>
      </c>
      <c r="C143" s="11" t="s">
        <v>135</v>
      </c>
      <c r="D143" s="7"/>
      <c r="E143" s="7"/>
      <c r="F143" s="11"/>
      <c r="G143" s="11"/>
      <c r="H143" s="11"/>
      <c r="I143" s="9"/>
    </row>
    <row r="144" spans="2:9" x14ac:dyDescent="0.25">
      <c r="B144" s="11"/>
      <c r="C144" s="11" t="s">
        <v>12</v>
      </c>
      <c r="D144" s="11" t="s">
        <v>136</v>
      </c>
      <c r="E144" s="11" t="s">
        <v>10</v>
      </c>
      <c r="F144" s="11" t="s">
        <v>123</v>
      </c>
      <c r="G144" s="11"/>
      <c r="H144" s="11"/>
      <c r="I144" s="9"/>
    </row>
    <row r="145" spans="2:9" x14ac:dyDescent="0.25">
      <c r="B145" s="11"/>
      <c r="C145" s="11" t="s">
        <v>137</v>
      </c>
      <c r="D145" s="7"/>
      <c r="E145" s="11" t="s">
        <v>10</v>
      </c>
      <c r="F145" s="11" t="s">
        <v>138</v>
      </c>
      <c r="G145" s="11"/>
      <c r="H145" s="11"/>
      <c r="I145" s="9"/>
    </row>
    <row r="146" spans="2:9" x14ac:dyDescent="0.25">
      <c r="B146" s="11" t="s">
        <v>11</v>
      </c>
      <c r="C146" s="11"/>
      <c r="D146" s="11"/>
      <c r="E146" s="11"/>
      <c r="F146" s="11"/>
      <c r="G146" s="11"/>
      <c r="H146" s="11"/>
      <c r="I146" s="9"/>
    </row>
    <row r="147" spans="2:9" x14ac:dyDescent="0.25">
      <c r="B147" s="11"/>
      <c r="C147" s="11"/>
      <c r="D147" s="11"/>
      <c r="E147" s="11"/>
      <c r="F147" s="11"/>
      <c r="G147" s="11"/>
      <c r="H147" s="11"/>
      <c r="I147" s="9"/>
    </row>
    <row r="148" spans="2:9" x14ac:dyDescent="0.25">
      <c r="B148" s="13" t="s">
        <v>53</v>
      </c>
      <c r="C148" s="13" t="s">
        <v>138</v>
      </c>
      <c r="D148" s="13"/>
      <c r="E148" s="13" t="s">
        <v>19</v>
      </c>
      <c r="F148" s="13" t="s">
        <v>139</v>
      </c>
      <c r="G148" s="13"/>
      <c r="H148" s="11"/>
      <c r="I148" s="9"/>
    </row>
    <row r="149" spans="2:9" x14ac:dyDescent="0.25">
      <c r="B149" s="11" t="s">
        <v>12</v>
      </c>
      <c r="C149" s="11" t="s">
        <v>140</v>
      </c>
      <c r="D149" s="11" t="s">
        <v>10</v>
      </c>
      <c r="E149" s="11" t="s">
        <v>123</v>
      </c>
      <c r="F149" s="11"/>
      <c r="G149" s="11"/>
      <c r="H149" s="11"/>
      <c r="I149" s="9"/>
    </row>
    <row r="150" spans="2:9" x14ac:dyDescent="0.25">
      <c r="B150" s="11" t="s">
        <v>137</v>
      </c>
      <c r="C150" s="11"/>
      <c r="D150" s="11" t="s">
        <v>125</v>
      </c>
      <c r="E150" s="11" t="s">
        <v>141</v>
      </c>
      <c r="F150" s="11"/>
      <c r="G150" s="11"/>
      <c r="H150" s="11"/>
      <c r="I150" s="9"/>
    </row>
    <row r="151" spans="2:9" x14ac:dyDescent="0.25">
      <c r="B151" s="11"/>
      <c r="C151" s="11"/>
      <c r="D151" s="11"/>
      <c r="E151" s="11"/>
      <c r="F151" s="11"/>
      <c r="G151" s="11"/>
      <c r="H151" s="11"/>
      <c r="I151" s="9"/>
    </row>
    <row r="152" spans="2:9" x14ac:dyDescent="0.25">
      <c r="B152" s="16" t="s">
        <v>19</v>
      </c>
      <c r="C152" s="16" t="s">
        <v>142</v>
      </c>
      <c r="D152" s="16"/>
      <c r="E152" s="16"/>
      <c r="F152" s="16"/>
      <c r="G152" s="16"/>
      <c r="H152" s="11"/>
      <c r="I152" s="9"/>
    </row>
    <row r="153" spans="2:9" x14ac:dyDescent="0.25">
      <c r="B153" s="23" t="s">
        <v>119</v>
      </c>
      <c r="C153" s="23" t="s">
        <v>143</v>
      </c>
      <c r="D153" s="23" t="s">
        <v>31</v>
      </c>
      <c r="E153" s="23"/>
      <c r="F153" s="23"/>
      <c r="G153" s="23"/>
      <c r="H153" s="8"/>
      <c r="I153" s="20"/>
    </row>
    <row r="154" spans="2:9" x14ac:dyDescent="0.25">
      <c r="B154" s="8" t="s">
        <v>121</v>
      </c>
      <c r="C154" s="8" t="s">
        <v>80</v>
      </c>
      <c r="D154" s="8" t="s">
        <v>52</v>
      </c>
      <c r="E154" s="8" t="s">
        <v>122</v>
      </c>
      <c r="F154" s="8"/>
      <c r="G154" s="8"/>
      <c r="H154" s="8"/>
      <c r="I154" s="20"/>
    </row>
    <row r="155" spans="2:9" x14ac:dyDescent="0.25">
      <c r="B155" s="13" t="s">
        <v>53</v>
      </c>
      <c r="C155" s="13" t="s">
        <v>133</v>
      </c>
      <c r="D155" s="13"/>
      <c r="E155" s="13" t="s">
        <v>19</v>
      </c>
      <c r="F155" s="13" t="s">
        <v>144</v>
      </c>
      <c r="G155" s="13"/>
      <c r="H155" s="8"/>
      <c r="I155" s="20"/>
    </row>
    <row r="156" spans="2:9" x14ac:dyDescent="0.25">
      <c r="B156" s="11" t="s">
        <v>12</v>
      </c>
      <c r="C156" s="11" t="s">
        <v>145</v>
      </c>
      <c r="D156" s="8"/>
      <c r="E156" s="8"/>
      <c r="F156" s="8"/>
      <c r="G156" s="8"/>
      <c r="H156" s="8"/>
      <c r="I156" s="20"/>
    </row>
    <row r="157" spans="2:9" x14ac:dyDescent="0.25">
      <c r="B157" s="11"/>
      <c r="C157" s="11" t="s">
        <v>125</v>
      </c>
      <c r="D157" s="8" t="s">
        <v>146</v>
      </c>
      <c r="E157" s="8" t="s">
        <v>19</v>
      </c>
      <c r="F157" s="8" t="s">
        <v>147</v>
      </c>
      <c r="G157" s="11"/>
      <c r="H157" s="11"/>
      <c r="I157" s="9"/>
    </row>
    <row r="158" spans="2:9" x14ac:dyDescent="0.25">
      <c r="B158" s="11"/>
      <c r="C158" s="11" t="s">
        <v>125</v>
      </c>
      <c r="D158" s="11" t="s">
        <v>132</v>
      </c>
      <c r="E158" s="11"/>
      <c r="F158" s="11"/>
      <c r="G158" s="11"/>
      <c r="H158" s="11"/>
      <c r="I158" s="9"/>
    </row>
    <row r="159" spans="2:9" x14ac:dyDescent="0.25">
      <c r="B159" s="11"/>
      <c r="C159" s="11" t="s">
        <v>10</v>
      </c>
      <c r="D159" s="11" t="s">
        <v>148</v>
      </c>
      <c r="E159" s="11"/>
      <c r="F159" s="11"/>
      <c r="G159" s="11"/>
      <c r="H159" s="11"/>
      <c r="I159" s="9"/>
    </row>
    <row r="160" spans="2:9" x14ac:dyDescent="0.25">
      <c r="B160" s="11" t="s">
        <v>11</v>
      </c>
      <c r="C160" s="11"/>
      <c r="D160" s="11"/>
      <c r="E160" s="11"/>
      <c r="F160" s="11"/>
      <c r="G160" s="11"/>
      <c r="H160" s="11"/>
      <c r="I160" s="9"/>
    </row>
    <row r="161" spans="1:9" x14ac:dyDescent="0.25">
      <c r="B161" s="13" t="s">
        <v>53</v>
      </c>
      <c r="C161" s="13" t="s">
        <v>148</v>
      </c>
      <c r="D161" s="13"/>
      <c r="E161" s="13" t="s">
        <v>19</v>
      </c>
      <c r="F161" s="13" t="s">
        <v>149</v>
      </c>
      <c r="G161" s="13"/>
      <c r="H161" s="11"/>
      <c r="I161" s="9"/>
    </row>
    <row r="162" spans="1:9" x14ac:dyDescent="0.25">
      <c r="B162" s="11" t="s">
        <v>12</v>
      </c>
      <c r="C162" s="11" t="s">
        <v>150</v>
      </c>
      <c r="D162" s="11"/>
      <c r="E162" s="11"/>
      <c r="F162" s="11"/>
      <c r="G162" s="11"/>
      <c r="H162" s="11"/>
      <c r="I162" s="9"/>
    </row>
    <row r="163" spans="1:9" x14ac:dyDescent="0.25">
      <c r="B163" s="11"/>
      <c r="C163" s="11" t="s">
        <v>13</v>
      </c>
      <c r="D163" s="7" t="s">
        <v>48</v>
      </c>
      <c r="E163" s="11" t="s">
        <v>64</v>
      </c>
      <c r="F163" s="11" t="s">
        <v>128</v>
      </c>
      <c r="G163" s="11" t="s">
        <v>151</v>
      </c>
      <c r="H163" s="11"/>
      <c r="I163" s="9"/>
    </row>
    <row r="164" spans="1:9" x14ac:dyDescent="0.25">
      <c r="B164" s="11"/>
      <c r="C164" s="11" t="s">
        <v>125</v>
      </c>
      <c r="D164" s="11" t="s">
        <v>152</v>
      </c>
      <c r="E164" s="11"/>
      <c r="F164" s="11"/>
      <c r="G164" s="11"/>
      <c r="H164" s="11"/>
      <c r="I164" s="9"/>
    </row>
    <row r="165" spans="1:9" x14ac:dyDescent="0.25">
      <c r="B165" s="11"/>
      <c r="C165" s="11" t="s">
        <v>10</v>
      </c>
      <c r="D165" s="11" t="s">
        <v>133</v>
      </c>
      <c r="E165" s="11"/>
      <c r="F165" s="11"/>
      <c r="G165" s="11"/>
      <c r="H165" s="11"/>
      <c r="I165" s="9"/>
    </row>
    <row r="166" spans="1:9" x14ac:dyDescent="0.25">
      <c r="B166" s="11" t="s">
        <v>153</v>
      </c>
      <c r="C166" s="11"/>
      <c r="D166" s="11"/>
      <c r="E166" s="11"/>
      <c r="F166" s="11"/>
      <c r="G166" s="11"/>
      <c r="H166" s="11"/>
      <c r="I166" s="9"/>
    </row>
    <row r="167" spans="1:9" x14ac:dyDescent="0.25">
      <c r="B167" s="11"/>
      <c r="C167" s="11" t="s">
        <v>125</v>
      </c>
      <c r="D167" s="11" t="s">
        <v>141</v>
      </c>
      <c r="E167" s="11"/>
      <c r="F167" s="11"/>
      <c r="G167" s="11"/>
      <c r="H167" s="11"/>
      <c r="I167" s="9"/>
    </row>
    <row r="168" spans="1:9" x14ac:dyDescent="0.25">
      <c r="B168" s="11" t="s">
        <v>11</v>
      </c>
      <c r="C168" s="11"/>
      <c r="D168" s="11"/>
      <c r="E168" s="11"/>
      <c r="F168" s="11"/>
      <c r="G168" s="11"/>
      <c r="H168" s="11"/>
      <c r="I168" s="9"/>
    </row>
    <row r="170" spans="1:9" x14ac:dyDescent="0.25">
      <c r="A170" s="3" t="s">
        <v>567</v>
      </c>
    </row>
    <row r="171" spans="1:9" x14ac:dyDescent="0.25">
      <c r="B171" s="12" t="s">
        <v>21</v>
      </c>
      <c r="C171" s="12" t="s">
        <v>29</v>
      </c>
      <c r="D171" s="13"/>
      <c r="E171" s="12"/>
      <c r="F171" s="12"/>
      <c r="G171" s="12"/>
      <c r="H171" s="12"/>
    </row>
    <row r="172" spans="1:9" x14ac:dyDescent="0.25">
      <c r="B172" s="7" t="s">
        <v>30</v>
      </c>
      <c r="C172" s="7" t="s">
        <v>31</v>
      </c>
      <c r="D172" s="7" t="s">
        <v>32</v>
      </c>
      <c r="E172" s="8">
        <v>1</v>
      </c>
      <c r="F172" s="6"/>
      <c r="G172" s="6" t="s">
        <v>19</v>
      </c>
      <c r="H172" s="6" t="s">
        <v>25</v>
      </c>
    </row>
    <row r="173" spans="1:9" x14ac:dyDescent="0.25">
      <c r="B173" s="7" t="s">
        <v>30</v>
      </c>
      <c r="C173" s="7" t="s">
        <v>64</v>
      </c>
      <c r="D173" s="7" t="s">
        <v>32</v>
      </c>
      <c r="E173" s="8">
        <v>1</v>
      </c>
      <c r="F173" s="6"/>
      <c r="G173" s="6" t="s">
        <v>19</v>
      </c>
      <c r="H173" s="6" t="s">
        <v>25</v>
      </c>
    </row>
    <row r="174" spans="1:9" x14ac:dyDescent="0.25">
      <c r="B174" s="7" t="s">
        <v>30</v>
      </c>
      <c r="C174" s="7" t="s">
        <v>547</v>
      </c>
      <c r="D174" s="7" t="s">
        <v>549</v>
      </c>
      <c r="E174" s="8" t="s">
        <v>39</v>
      </c>
      <c r="F174" s="6" t="s">
        <v>40</v>
      </c>
      <c r="G174" s="6" t="s">
        <v>19</v>
      </c>
      <c r="H174" s="6" t="s">
        <v>33</v>
      </c>
    </row>
    <row r="175" spans="1:9" x14ac:dyDescent="0.25">
      <c r="B175" s="12" t="s">
        <v>21</v>
      </c>
      <c r="C175" s="12" t="s">
        <v>548</v>
      </c>
      <c r="D175" s="13"/>
      <c r="E175" s="12"/>
      <c r="F175" s="12"/>
      <c r="G175" s="12"/>
      <c r="H175" s="12"/>
    </row>
    <row r="176" spans="1:9" x14ac:dyDescent="0.25">
      <c r="B176" s="7" t="s">
        <v>30</v>
      </c>
      <c r="C176" s="7" t="s">
        <v>34</v>
      </c>
      <c r="D176" s="7" t="s">
        <v>549</v>
      </c>
      <c r="E176" s="8">
        <v>1</v>
      </c>
      <c r="F176" s="6" t="s">
        <v>40</v>
      </c>
      <c r="G176" s="6" t="s">
        <v>19</v>
      </c>
      <c r="H176" s="6" t="s">
        <v>35</v>
      </c>
    </row>
    <row r="177" spans="1:8" x14ac:dyDescent="0.25">
      <c r="B177" s="7" t="s">
        <v>30</v>
      </c>
      <c r="C177" s="7" t="s">
        <v>36</v>
      </c>
      <c r="D177" s="7" t="s">
        <v>549</v>
      </c>
      <c r="E177" s="8">
        <v>32</v>
      </c>
      <c r="F177" s="6" t="s">
        <v>40</v>
      </c>
      <c r="G177" s="6" t="s">
        <v>19</v>
      </c>
      <c r="H177" s="6" t="s">
        <v>37</v>
      </c>
    </row>
    <row r="178" spans="1:8" x14ac:dyDescent="0.25">
      <c r="B178" s="7" t="s">
        <v>30</v>
      </c>
      <c r="C178" s="7" t="s">
        <v>38</v>
      </c>
      <c r="D178" s="7" t="s">
        <v>223</v>
      </c>
      <c r="E178" s="8" t="s">
        <v>39</v>
      </c>
      <c r="F178" s="6"/>
      <c r="G178" s="6" t="s">
        <v>19</v>
      </c>
      <c r="H178" s="14" t="s">
        <v>41</v>
      </c>
    </row>
    <row r="179" spans="1:8" x14ac:dyDescent="0.25">
      <c r="B179" s="12" t="s">
        <v>21</v>
      </c>
      <c r="C179" s="12" t="s">
        <v>42</v>
      </c>
      <c r="D179" s="13"/>
      <c r="E179" s="12"/>
      <c r="F179" s="12"/>
      <c r="G179" s="12"/>
      <c r="H179" s="12"/>
    </row>
    <row r="180" spans="1:8" x14ac:dyDescent="0.25">
      <c r="B180" s="7" t="s">
        <v>30</v>
      </c>
      <c r="C180" s="7" t="s">
        <v>43</v>
      </c>
      <c r="D180" s="7" t="s">
        <v>223</v>
      </c>
      <c r="E180" s="8">
        <v>1</v>
      </c>
      <c r="F180" s="6"/>
      <c r="G180" s="6" t="s">
        <v>19</v>
      </c>
      <c r="H180" s="6" t="s">
        <v>35</v>
      </c>
    </row>
    <row r="181" spans="1:8" x14ac:dyDescent="0.25">
      <c r="B181" s="7" t="s">
        <v>30</v>
      </c>
      <c r="C181" s="7" t="s">
        <v>44</v>
      </c>
      <c r="D181" s="7" t="s">
        <v>223</v>
      </c>
      <c r="E181" s="8" t="s">
        <v>52</v>
      </c>
      <c r="F181" s="6"/>
      <c r="G181" s="6" t="s">
        <v>19</v>
      </c>
      <c r="H181" s="6" t="s">
        <v>45</v>
      </c>
    </row>
    <row r="182" spans="1:8" x14ac:dyDescent="0.25">
      <c r="B182" s="7" t="s">
        <v>30</v>
      </c>
      <c r="C182" s="7" t="s">
        <v>46</v>
      </c>
      <c r="D182" s="7" t="s">
        <v>223</v>
      </c>
      <c r="E182" s="8" t="s">
        <v>52</v>
      </c>
      <c r="F182" s="6"/>
      <c r="G182" s="6" t="s">
        <v>19</v>
      </c>
      <c r="H182" s="6" t="s">
        <v>47</v>
      </c>
    </row>
    <row r="183" spans="1:8" x14ac:dyDescent="0.25">
      <c r="B183" s="7" t="s">
        <v>30</v>
      </c>
      <c r="C183" s="7" t="s">
        <v>48</v>
      </c>
      <c r="D183" s="7" t="s">
        <v>549</v>
      </c>
      <c r="E183" s="8">
        <v>1</v>
      </c>
      <c r="F183" s="7" t="s">
        <v>40</v>
      </c>
      <c r="G183" s="6" t="s">
        <v>19</v>
      </c>
      <c r="H183" s="6" t="s">
        <v>41</v>
      </c>
    </row>
    <row r="185" spans="1:8" x14ac:dyDescent="0.25">
      <c r="A185" s="3" t="s">
        <v>568</v>
      </c>
    </row>
    <row r="186" spans="1:8" x14ac:dyDescent="0.25">
      <c r="B186" s="11" t="s">
        <v>65</v>
      </c>
      <c r="C186" s="11" t="s">
        <v>154</v>
      </c>
      <c r="D186" s="7"/>
      <c r="E186" s="7"/>
      <c r="F186" s="7"/>
      <c r="G186" s="7"/>
    </row>
    <row r="187" spans="1:8" x14ac:dyDescent="0.25">
      <c r="B187" s="7"/>
      <c r="C187" s="7"/>
      <c r="D187" s="7"/>
      <c r="E187" s="7"/>
      <c r="F187" s="7"/>
      <c r="G187" s="7"/>
    </row>
    <row r="188" spans="1:8" x14ac:dyDescent="0.25">
      <c r="B188" s="24" t="s">
        <v>19</v>
      </c>
      <c r="C188" s="24" t="s">
        <v>155</v>
      </c>
      <c r="D188" s="24"/>
      <c r="E188" s="24"/>
      <c r="F188" s="24"/>
      <c r="G188" s="24"/>
    </row>
    <row r="189" spans="1:8" x14ac:dyDescent="0.25">
      <c r="B189" s="18" t="s">
        <v>156</v>
      </c>
      <c r="C189" s="18" t="s">
        <v>157</v>
      </c>
      <c r="D189" s="18" t="s">
        <v>158</v>
      </c>
      <c r="E189" s="18" t="str">
        <f>CONCATENATE("i_",E190)</f>
        <v>i_main</v>
      </c>
      <c r="F189" s="18" t="str">
        <f>CONCATENATE("i_",F190)</f>
        <v>i_model</v>
      </c>
      <c r="G189" s="18" t="str">
        <f>CONCATENATE("i_",G190)</f>
        <v>i_clk</v>
      </c>
    </row>
    <row r="190" spans="1:8" x14ac:dyDescent="0.25">
      <c r="B190" s="18" t="s">
        <v>159</v>
      </c>
      <c r="C190" s="18"/>
      <c r="D190" s="18"/>
      <c r="E190" s="19" t="s">
        <v>66</v>
      </c>
      <c r="F190" s="18" t="s">
        <v>24</v>
      </c>
      <c r="G190" s="18" t="s">
        <v>31</v>
      </c>
    </row>
    <row r="191" spans="1:8" x14ac:dyDescent="0.25">
      <c r="B191" s="6" t="s">
        <v>160</v>
      </c>
      <c r="C191" s="6">
        <v>1</v>
      </c>
      <c r="D191" s="7" t="s">
        <v>64</v>
      </c>
      <c r="E191" s="7" t="s">
        <v>64</v>
      </c>
      <c r="F191" s="6"/>
      <c r="G191" s="7" t="s">
        <v>64</v>
      </c>
    </row>
    <row r="192" spans="1:8" x14ac:dyDescent="0.25">
      <c r="B192" s="6" t="s">
        <v>160</v>
      </c>
      <c r="C192" s="8">
        <v>1</v>
      </c>
      <c r="D192" s="7" t="s">
        <v>31</v>
      </c>
      <c r="E192" s="7" t="s">
        <v>31</v>
      </c>
      <c r="F192" s="7" t="s">
        <v>31</v>
      </c>
      <c r="G192" s="7" t="s">
        <v>31</v>
      </c>
    </row>
    <row r="193" spans="2:7" x14ac:dyDescent="0.25">
      <c r="B193" s="6" t="s">
        <v>160</v>
      </c>
      <c r="C193" s="8">
        <v>1</v>
      </c>
      <c r="D193" s="7" t="s">
        <v>547</v>
      </c>
      <c r="E193" s="7" t="s">
        <v>547</v>
      </c>
      <c r="F193" s="7" t="s">
        <v>547</v>
      </c>
      <c r="G193" s="7"/>
    </row>
    <row r="194" spans="2:7" x14ac:dyDescent="0.25">
      <c r="B194" s="6" t="s">
        <v>160</v>
      </c>
      <c r="C194" s="8">
        <v>1</v>
      </c>
      <c r="D194" s="7" t="s">
        <v>34</v>
      </c>
      <c r="E194" s="7" t="s">
        <v>34</v>
      </c>
      <c r="F194" s="7" t="s">
        <v>34</v>
      </c>
      <c r="G194" s="6"/>
    </row>
    <row r="195" spans="2:7" x14ac:dyDescent="0.25">
      <c r="B195" s="6" t="s">
        <v>160</v>
      </c>
      <c r="C195" s="8">
        <v>32</v>
      </c>
      <c r="D195" s="7" t="s">
        <v>36</v>
      </c>
      <c r="E195" s="7" t="s">
        <v>36</v>
      </c>
      <c r="F195" s="7" t="s">
        <v>36</v>
      </c>
      <c r="G195" s="7"/>
    </row>
    <row r="196" spans="2:7" x14ac:dyDescent="0.25">
      <c r="B196" s="6" t="s">
        <v>160</v>
      </c>
      <c r="C196" s="8" t="s">
        <v>39</v>
      </c>
      <c r="D196" s="7" t="s">
        <v>38</v>
      </c>
      <c r="E196" s="7" t="s">
        <v>38</v>
      </c>
      <c r="F196" s="7" t="s">
        <v>38</v>
      </c>
      <c r="G196" s="7"/>
    </row>
    <row r="197" spans="2:7" x14ac:dyDescent="0.25">
      <c r="B197" s="6" t="s">
        <v>160</v>
      </c>
      <c r="C197" s="8">
        <v>1</v>
      </c>
      <c r="D197" s="7" t="s">
        <v>43</v>
      </c>
      <c r="E197" s="7" t="s">
        <v>43</v>
      </c>
      <c r="F197" s="7" t="s">
        <v>43</v>
      </c>
      <c r="G197" s="7"/>
    </row>
    <row r="198" spans="2:7" x14ac:dyDescent="0.25">
      <c r="B198" s="6" t="s">
        <v>160</v>
      </c>
      <c r="C198" s="8" t="s">
        <v>52</v>
      </c>
      <c r="D198" s="7" t="s">
        <v>44</v>
      </c>
      <c r="E198" s="7" t="s">
        <v>44</v>
      </c>
      <c r="F198" s="7" t="s">
        <v>44</v>
      </c>
      <c r="G198" s="7"/>
    </row>
    <row r="199" spans="2:7" x14ac:dyDescent="0.25">
      <c r="B199" s="6" t="s">
        <v>160</v>
      </c>
      <c r="C199" s="8" t="s">
        <v>52</v>
      </c>
      <c r="D199" s="7" t="s">
        <v>46</v>
      </c>
      <c r="E199" s="7" t="s">
        <v>46</v>
      </c>
      <c r="F199" s="7" t="s">
        <v>46</v>
      </c>
      <c r="G199" s="7"/>
    </row>
    <row r="200" spans="2:7" x14ac:dyDescent="0.25">
      <c r="B200" s="6" t="s">
        <v>160</v>
      </c>
      <c r="C200" s="8">
        <v>1</v>
      </c>
      <c r="D200" s="7" t="s">
        <v>48</v>
      </c>
      <c r="E200" s="7" t="s">
        <v>48</v>
      </c>
      <c r="F200" s="7" t="s">
        <v>48</v>
      </c>
      <c r="G200" s="7"/>
    </row>
    <row r="201" spans="2:7" x14ac:dyDescent="0.25">
      <c r="B201" s="7"/>
      <c r="C201" s="7"/>
      <c r="D201" s="7"/>
      <c r="E201" s="7"/>
      <c r="F201" s="7"/>
      <c r="G201" s="7"/>
    </row>
    <row r="202" spans="2:7" x14ac:dyDescent="0.25">
      <c r="B202" s="7"/>
      <c r="C202" s="7"/>
      <c r="D202" s="7"/>
      <c r="E202" s="7"/>
      <c r="F202" s="7"/>
      <c r="G202" s="7"/>
    </row>
    <row r="203" spans="2:7" x14ac:dyDescent="0.25">
      <c r="B203" s="11" t="s">
        <v>68</v>
      </c>
      <c r="C203" s="11" t="s">
        <v>102</v>
      </c>
      <c r="D203" s="7"/>
      <c r="E203" s="7"/>
      <c r="F203" s="7"/>
      <c r="G203" s="7"/>
    </row>
    <row r="204" spans="2:7" x14ac:dyDescent="0.25">
      <c r="B204" s="11" t="s">
        <v>101</v>
      </c>
      <c r="C204" s="11"/>
      <c r="D204" s="7"/>
      <c r="E204" s="7"/>
      <c r="F204" s="7"/>
      <c r="G204" s="7"/>
    </row>
    <row r="205" spans="2:7" x14ac:dyDescent="0.25">
      <c r="B205" s="7" t="s">
        <v>68</v>
      </c>
      <c r="C205" s="7" t="s">
        <v>161</v>
      </c>
      <c r="D205" s="7"/>
      <c r="E205" s="7"/>
      <c r="F205" s="7"/>
      <c r="G205" s="7"/>
    </row>
    <row r="206" spans="2:7" x14ac:dyDescent="0.25">
      <c r="B206" s="7" t="s">
        <v>68</v>
      </c>
      <c r="C206" s="7" t="s">
        <v>162</v>
      </c>
      <c r="D206" s="7"/>
      <c r="E206" s="7"/>
      <c r="F206" s="7"/>
      <c r="G206" s="7"/>
    </row>
    <row r="207" spans="2:7" x14ac:dyDescent="0.25">
      <c r="B207" s="7" t="s">
        <v>68</v>
      </c>
      <c r="C207" s="7" t="s">
        <v>163</v>
      </c>
      <c r="D207" s="7"/>
      <c r="E207" s="7"/>
      <c r="F207" s="7"/>
      <c r="G207" s="7"/>
    </row>
    <row r="208" spans="2:7" x14ac:dyDescent="0.25">
      <c r="B208" s="11" t="s">
        <v>116</v>
      </c>
      <c r="C208" s="11"/>
      <c r="D208" s="7"/>
      <c r="E208" s="7"/>
      <c r="F208" s="7"/>
      <c r="G208" s="7"/>
    </row>
    <row r="209" spans="1:9" x14ac:dyDescent="0.25">
      <c r="B209" s="11" t="s">
        <v>68</v>
      </c>
      <c r="C209" s="21" t="s">
        <v>117</v>
      </c>
      <c r="D209" s="7"/>
      <c r="E209" s="7"/>
      <c r="F209" s="7"/>
      <c r="G209" s="7"/>
    </row>
    <row r="211" spans="1:9" x14ac:dyDescent="0.25">
      <c r="A211" s="3" t="s">
        <v>569</v>
      </c>
    </row>
    <row r="212" spans="1:9" x14ac:dyDescent="0.25">
      <c r="B212" s="7" t="s">
        <v>164</v>
      </c>
      <c r="C212" s="6" t="s">
        <v>22</v>
      </c>
      <c r="D212" s="7"/>
      <c r="E212" s="7"/>
      <c r="F212" s="7"/>
      <c r="G212" s="7"/>
      <c r="H212" s="7"/>
      <c r="I212" s="7"/>
    </row>
    <row r="213" spans="1:9" x14ac:dyDescent="0.25">
      <c r="B213" s="7"/>
      <c r="C213" s="6"/>
      <c r="D213" s="7"/>
      <c r="E213" s="7"/>
      <c r="F213" s="7"/>
      <c r="G213" s="7"/>
      <c r="H213" s="7"/>
      <c r="I213" s="7"/>
    </row>
    <row r="214" spans="1:9" x14ac:dyDescent="0.25">
      <c r="B214" s="7" t="s">
        <v>165</v>
      </c>
      <c r="C214" s="6" t="s">
        <v>22</v>
      </c>
      <c r="D214" s="7"/>
      <c r="E214" s="7"/>
      <c r="F214" s="7"/>
      <c r="G214" s="7"/>
      <c r="H214" s="7"/>
      <c r="I214" s="7"/>
    </row>
    <row r="215" spans="1:9" x14ac:dyDescent="0.25">
      <c r="B215" s="19" t="s">
        <v>19</v>
      </c>
      <c r="C215" s="18" t="s">
        <v>166</v>
      </c>
      <c r="D215" s="19"/>
      <c r="E215" s="19"/>
      <c r="F215" s="7"/>
      <c r="G215" s="7"/>
      <c r="H215" s="7"/>
      <c r="I215" s="7"/>
    </row>
    <row r="216" spans="1:9" x14ac:dyDescent="0.25">
      <c r="B216" s="7" t="s">
        <v>167</v>
      </c>
      <c r="C216" s="7" t="s">
        <v>168</v>
      </c>
      <c r="D216" s="7" t="s">
        <v>169</v>
      </c>
      <c r="E216" s="7" t="s">
        <v>170</v>
      </c>
      <c r="F216" s="7"/>
      <c r="G216" s="7"/>
      <c r="H216" s="7"/>
      <c r="I216" s="7"/>
    </row>
    <row r="217" spans="1:9" x14ac:dyDescent="0.25">
      <c r="B217" s="7" t="s">
        <v>167</v>
      </c>
      <c r="C217" s="7" t="s">
        <v>171</v>
      </c>
      <c r="D217" s="7" t="s">
        <v>169</v>
      </c>
      <c r="E217" s="7" t="s">
        <v>172</v>
      </c>
      <c r="F217" s="7"/>
      <c r="G217" s="7"/>
      <c r="H217" s="7"/>
      <c r="I217" s="7"/>
    </row>
    <row r="218" spans="1:9" x14ac:dyDescent="0.25">
      <c r="B218" s="7" t="s">
        <v>167</v>
      </c>
      <c r="C218" s="7" t="s">
        <v>173</v>
      </c>
      <c r="D218" s="7" t="s">
        <v>169</v>
      </c>
      <c r="E218" s="7" t="s">
        <v>174</v>
      </c>
      <c r="F218" s="7"/>
      <c r="G218" s="7"/>
      <c r="H218" s="7"/>
      <c r="I218" s="7"/>
    </row>
    <row r="219" spans="1:9" x14ac:dyDescent="0.25">
      <c r="B219" s="7" t="s">
        <v>167</v>
      </c>
      <c r="C219" s="7" t="s">
        <v>175</v>
      </c>
      <c r="D219" s="7" t="s">
        <v>169</v>
      </c>
      <c r="E219" s="7" t="s">
        <v>176</v>
      </c>
      <c r="F219" s="7"/>
      <c r="G219" s="7"/>
      <c r="H219" s="7"/>
      <c r="I219" s="7"/>
    </row>
    <row r="220" spans="1:9" x14ac:dyDescent="0.25">
      <c r="B220" s="11"/>
      <c r="C220" s="11"/>
      <c r="D220" s="7"/>
      <c r="E220" s="7"/>
      <c r="F220" s="7"/>
      <c r="G220" s="7"/>
      <c r="H220" s="7"/>
      <c r="I220" s="7"/>
    </row>
    <row r="221" spans="1:9" x14ac:dyDescent="0.25">
      <c r="B221" s="7" t="s">
        <v>165</v>
      </c>
      <c r="C221" s="6" t="s">
        <v>177</v>
      </c>
      <c r="D221" s="7"/>
      <c r="E221" s="7"/>
      <c r="F221" s="7"/>
      <c r="G221" s="7"/>
      <c r="H221" s="7"/>
      <c r="I221" s="7"/>
    </row>
    <row r="222" spans="1:9" x14ac:dyDescent="0.25">
      <c r="B222" s="11"/>
      <c r="C222" s="11"/>
      <c r="D222" s="11"/>
      <c r="E222" s="11"/>
      <c r="F222" s="11"/>
      <c r="G222" s="11"/>
      <c r="H222" s="11"/>
      <c r="I222" s="11"/>
    </row>
    <row r="223" spans="1:9" x14ac:dyDescent="0.25">
      <c r="B223" s="19" t="s">
        <v>19</v>
      </c>
      <c r="C223" s="18" t="s">
        <v>178</v>
      </c>
      <c r="D223" s="19"/>
      <c r="E223" s="19"/>
      <c r="F223" s="11"/>
      <c r="G223" s="11"/>
      <c r="H223" s="11"/>
      <c r="I223" s="11"/>
    </row>
    <row r="224" spans="1:9" x14ac:dyDescent="0.25">
      <c r="B224" s="11" t="s">
        <v>165</v>
      </c>
      <c r="C224" s="7" t="s">
        <v>170</v>
      </c>
      <c r="D224" s="11"/>
      <c r="E224" s="11"/>
      <c r="F224" s="11"/>
      <c r="G224" s="11"/>
      <c r="H224" s="11"/>
      <c r="I224" s="11"/>
    </row>
    <row r="225" spans="2:9" x14ac:dyDescent="0.25">
      <c r="B225" s="7" t="s">
        <v>179</v>
      </c>
      <c r="C225" s="8" t="s">
        <v>91</v>
      </c>
      <c r="D225" s="21" t="s">
        <v>92</v>
      </c>
      <c r="E225" s="11"/>
      <c r="F225" s="11"/>
      <c r="G225" s="11"/>
      <c r="H225" s="11"/>
      <c r="I225" s="11"/>
    </row>
    <row r="226" spans="2:9" x14ac:dyDescent="0.25">
      <c r="B226" s="6" t="s">
        <v>180</v>
      </c>
      <c r="C226" s="6" t="s">
        <v>93</v>
      </c>
      <c r="D226" s="6">
        <v>0</v>
      </c>
      <c r="E226" s="6">
        <v>5</v>
      </c>
      <c r="F226" s="11"/>
      <c r="G226" s="11"/>
      <c r="H226" s="11"/>
      <c r="I226" s="11"/>
    </row>
    <row r="227" spans="2:9" x14ac:dyDescent="0.25">
      <c r="B227" s="6" t="s">
        <v>180</v>
      </c>
      <c r="C227" s="6" t="s">
        <v>96</v>
      </c>
      <c r="D227" s="6">
        <v>0</v>
      </c>
      <c r="E227" s="6">
        <v>5</v>
      </c>
      <c r="F227" s="11"/>
      <c r="G227" s="11"/>
      <c r="H227" s="11"/>
      <c r="I227" s="11"/>
    </row>
    <row r="228" spans="2:9" x14ac:dyDescent="0.25">
      <c r="B228" s="7" t="s">
        <v>181</v>
      </c>
      <c r="C228" s="7" t="s">
        <v>87</v>
      </c>
      <c r="D228" s="7"/>
      <c r="E228" s="7"/>
      <c r="F228" s="7"/>
      <c r="G228" s="7"/>
      <c r="H228" s="7"/>
      <c r="I228" s="7"/>
    </row>
    <row r="229" spans="2:9" x14ac:dyDescent="0.25">
      <c r="B229" s="17" t="s">
        <v>21</v>
      </c>
      <c r="C229" s="16" t="s">
        <v>91</v>
      </c>
      <c r="D229" s="22" t="s">
        <v>92</v>
      </c>
      <c r="E229" s="22" t="s">
        <v>93</v>
      </c>
      <c r="F229" s="7"/>
      <c r="G229" s="7"/>
      <c r="H229" s="7"/>
      <c r="I229" s="7"/>
    </row>
    <row r="230" spans="2:9" x14ac:dyDescent="0.25">
      <c r="B230" s="7" t="s">
        <v>182</v>
      </c>
      <c r="C230" s="7" t="s">
        <v>183</v>
      </c>
      <c r="D230" s="7" t="s">
        <v>184</v>
      </c>
      <c r="E230" s="7" t="s">
        <v>185</v>
      </c>
      <c r="F230" s="7"/>
      <c r="G230" s="7"/>
      <c r="H230" s="7"/>
      <c r="I230" s="7"/>
    </row>
    <row r="231" spans="2:9" x14ac:dyDescent="0.25">
      <c r="B231" s="7" t="s">
        <v>181</v>
      </c>
      <c r="C231" s="7" t="s">
        <v>95</v>
      </c>
      <c r="D231" s="11"/>
      <c r="E231" s="11"/>
      <c r="F231" s="7"/>
      <c r="G231" s="7"/>
      <c r="H231" s="7"/>
      <c r="I231" s="7"/>
    </row>
    <row r="232" spans="2:9" x14ac:dyDescent="0.25">
      <c r="B232" s="17" t="s">
        <v>21</v>
      </c>
      <c r="C232" s="16" t="s">
        <v>96</v>
      </c>
      <c r="D232" s="7"/>
      <c r="E232" s="7"/>
      <c r="F232" s="7"/>
      <c r="G232" s="7"/>
      <c r="H232" s="7"/>
      <c r="I232" s="7"/>
    </row>
    <row r="233" spans="2:9" x14ac:dyDescent="0.25">
      <c r="B233" s="7" t="s">
        <v>182</v>
      </c>
      <c r="C233" s="7" t="s">
        <v>186</v>
      </c>
      <c r="D233" s="7"/>
      <c r="E233" s="7"/>
      <c r="F233" s="7"/>
      <c r="G233" s="7"/>
      <c r="H233" s="7"/>
      <c r="I233" s="7"/>
    </row>
    <row r="234" spans="2:9" x14ac:dyDescent="0.25">
      <c r="B234" s="11"/>
      <c r="C234" s="11"/>
      <c r="D234" s="11"/>
      <c r="E234" s="11"/>
      <c r="F234" s="7"/>
      <c r="G234" s="7"/>
      <c r="H234" s="7"/>
      <c r="I234" s="7"/>
    </row>
    <row r="235" spans="2:9" x14ac:dyDescent="0.25">
      <c r="B235" s="19" t="s">
        <v>19</v>
      </c>
      <c r="C235" s="18" t="s">
        <v>187</v>
      </c>
      <c r="D235" s="19"/>
      <c r="E235" s="19"/>
      <c r="F235" s="7"/>
      <c r="G235" s="7"/>
      <c r="H235" s="7"/>
      <c r="I235" s="7"/>
    </row>
    <row r="236" spans="2:9" x14ac:dyDescent="0.25">
      <c r="B236" s="11" t="s">
        <v>165</v>
      </c>
      <c r="C236" s="7" t="s">
        <v>188</v>
      </c>
      <c r="D236" s="11"/>
      <c r="E236" s="11"/>
      <c r="F236" s="11"/>
      <c r="G236" s="11"/>
      <c r="H236" s="11"/>
      <c r="I236" s="11"/>
    </row>
    <row r="237" spans="2:9" x14ac:dyDescent="0.25">
      <c r="B237" s="7" t="s">
        <v>179</v>
      </c>
      <c r="C237" s="11" t="s">
        <v>80</v>
      </c>
      <c r="D237" s="11"/>
      <c r="E237" s="11"/>
      <c r="F237" s="11"/>
      <c r="G237" s="11"/>
      <c r="H237" s="11"/>
      <c r="I237" s="11"/>
    </row>
    <row r="238" spans="2:9" x14ac:dyDescent="0.25">
      <c r="B238" s="11" t="s">
        <v>189</v>
      </c>
      <c r="C238" s="11" t="s">
        <v>190</v>
      </c>
      <c r="D238" s="11" t="s">
        <v>191</v>
      </c>
      <c r="E238" s="11"/>
      <c r="F238" s="11"/>
      <c r="G238" s="11"/>
      <c r="H238" s="11"/>
      <c r="I238" s="11"/>
    </row>
    <row r="239" spans="2:9" x14ac:dyDescent="0.25">
      <c r="B239" s="11"/>
      <c r="C239" s="6" t="s">
        <v>180</v>
      </c>
      <c r="D239" s="8" t="s">
        <v>192</v>
      </c>
      <c r="E239" s="11" t="s">
        <v>122</v>
      </c>
      <c r="F239" s="25" t="s">
        <v>193</v>
      </c>
      <c r="G239" s="11"/>
      <c r="H239" s="11"/>
      <c r="I239" s="11"/>
    </row>
    <row r="240" spans="2:9" x14ac:dyDescent="0.25">
      <c r="B240" s="11"/>
      <c r="C240" s="6" t="s">
        <v>180</v>
      </c>
      <c r="D240" s="8" t="s">
        <v>194</v>
      </c>
      <c r="E240" s="11" t="s">
        <v>122</v>
      </c>
      <c r="F240" s="25" t="s">
        <v>193</v>
      </c>
      <c r="G240" s="11"/>
      <c r="H240" s="11"/>
      <c r="I240" s="11"/>
    </row>
    <row r="241" spans="2:9" x14ac:dyDescent="0.25">
      <c r="B241" s="11"/>
      <c r="C241" s="6" t="s">
        <v>180</v>
      </c>
      <c r="D241" s="21" t="s">
        <v>195</v>
      </c>
      <c r="E241" s="11" t="s">
        <v>122</v>
      </c>
      <c r="F241" s="25" t="s">
        <v>193</v>
      </c>
      <c r="G241" s="11"/>
      <c r="H241" s="11"/>
      <c r="I241" s="11"/>
    </row>
    <row r="242" spans="2:9" x14ac:dyDescent="0.25">
      <c r="B242" s="11"/>
      <c r="C242" s="6" t="s">
        <v>180</v>
      </c>
      <c r="D242" s="21" t="s">
        <v>196</v>
      </c>
      <c r="E242" s="11" t="s">
        <v>122</v>
      </c>
      <c r="F242" s="25" t="s">
        <v>193</v>
      </c>
      <c r="G242" s="11"/>
      <c r="H242" s="11"/>
      <c r="I242" s="11"/>
    </row>
    <row r="243" spans="2:9" x14ac:dyDescent="0.25">
      <c r="B243" s="11"/>
      <c r="C243" s="11" t="s">
        <v>197</v>
      </c>
      <c r="D243" s="11" t="s">
        <v>198</v>
      </c>
      <c r="E243" s="11" t="s">
        <v>199</v>
      </c>
      <c r="F243" s="11" t="s">
        <v>200</v>
      </c>
      <c r="G243" s="11"/>
      <c r="H243" s="11"/>
      <c r="I243" s="11"/>
    </row>
    <row r="244" spans="2:9" x14ac:dyDescent="0.25">
      <c r="B244" s="11" t="s">
        <v>201</v>
      </c>
      <c r="C244" s="11"/>
      <c r="D244" s="11"/>
      <c r="E244" s="11"/>
      <c r="F244" s="11"/>
      <c r="G244" s="11"/>
      <c r="H244" s="11"/>
      <c r="I244" s="11"/>
    </row>
    <row r="245" spans="2:9" x14ac:dyDescent="0.25">
      <c r="B245" s="11"/>
      <c r="C245" s="11"/>
      <c r="D245" s="11"/>
      <c r="E245" s="11"/>
      <c r="F245" s="11"/>
      <c r="G245" s="11"/>
      <c r="H245" s="11"/>
      <c r="I245" s="11"/>
    </row>
    <row r="246" spans="2:9" x14ac:dyDescent="0.25">
      <c r="B246" s="24" t="s">
        <v>19</v>
      </c>
      <c r="C246" s="24" t="s">
        <v>202</v>
      </c>
      <c r="D246" s="24"/>
      <c r="E246" s="24"/>
      <c r="F246" s="24"/>
      <c r="G246" s="24"/>
      <c r="H246" s="24"/>
      <c r="I246" s="7"/>
    </row>
    <row r="247" spans="2:9" x14ac:dyDescent="0.25">
      <c r="B247" s="7" t="s">
        <v>165</v>
      </c>
      <c r="C247" s="7" t="s">
        <v>174</v>
      </c>
      <c r="D247" s="7"/>
      <c r="E247" s="7"/>
      <c r="F247" s="7"/>
      <c r="G247" s="7"/>
      <c r="H247" s="7"/>
      <c r="I247" s="7"/>
    </row>
    <row r="248" spans="2:9" x14ac:dyDescent="0.25">
      <c r="B248" s="7" t="s">
        <v>203</v>
      </c>
      <c r="C248" s="7" t="s">
        <v>204</v>
      </c>
      <c r="D248" s="7"/>
      <c r="E248" s="7"/>
      <c r="F248" s="7"/>
      <c r="G248" s="7"/>
      <c r="H248" s="7"/>
      <c r="I248" s="7"/>
    </row>
    <row r="249" spans="2:9" x14ac:dyDescent="0.25">
      <c r="B249" s="7" t="s">
        <v>203</v>
      </c>
      <c r="C249" s="7" t="s">
        <v>205</v>
      </c>
      <c r="D249" s="7"/>
      <c r="E249" s="7"/>
      <c r="F249" s="7"/>
      <c r="G249" s="7"/>
      <c r="H249" s="7"/>
      <c r="I249" s="7"/>
    </row>
    <row r="250" spans="2:9" x14ac:dyDescent="0.25">
      <c r="B250" s="7" t="s">
        <v>203</v>
      </c>
      <c r="C250" s="7" t="s">
        <v>206</v>
      </c>
      <c r="D250" s="7"/>
      <c r="E250" s="7"/>
      <c r="F250" s="7"/>
      <c r="G250" s="7"/>
      <c r="H250" s="7"/>
      <c r="I250" s="7"/>
    </row>
    <row r="251" spans="2:9" x14ac:dyDescent="0.25">
      <c r="B251" s="7" t="s">
        <v>203</v>
      </c>
      <c r="C251" s="7" t="s">
        <v>207</v>
      </c>
      <c r="D251" s="7"/>
      <c r="E251" s="7"/>
      <c r="F251" s="7"/>
      <c r="G251" s="7"/>
      <c r="H251" s="7"/>
      <c r="I251" s="7"/>
    </row>
    <row r="252" spans="2:9" x14ac:dyDescent="0.25">
      <c r="B252" s="7" t="s">
        <v>203</v>
      </c>
      <c r="C252" s="7" t="s">
        <v>208</v>
      </c>
      <c r="D252" s="7"/>
      <c r="E252" s="7"/>
      <c r="F252" s="7"/>
      <c r="G252" s="7"/>
      <c r="H252" s="7"/>
      <c r="I252" s="7"/>
    </row>
    <row r="253" spans="2:9" x14ac:dyDescent="0.25">
      <c r="B253" s="7" t="s">
        <v>203</v>
      </c>
      <c r="C253" s="7" t="s">
        <v>80</v>
      </c>
      <c r="D253" s="11" t="s">
        <v>122</v>
      </c>
      <c r="E253" s="7"/>
      <c r="F253" s="7"/>
      <c r="G253" s="7"/>
      <c r="H253" s="7"/>
      <c r="I253" s="7"/>
    </row>
    <row r="254" spans="2:9" x14ac:dyDescent="0.25">
      <c r="B254" s="7" t="s">
        <v>189</v>
      </c>
      <c r="C254" s="7" t="s">
        <v>190</v>
      </c>
      <c r="D254" s="7" t="s">
        <v>209</v>
      </c>
      <c r="E254" s="7"/>
      <c r="F254" s="7"/>
      <c r="G254" s="7"/>
      <c r="H254" s="7"/>
      <c r="I254" s="7"/>
    </row>
    <row r="255" spans="2:9" x14ac:dyDescent="0.25">
      <c r="B255" s="7"/>
      <c r="C255" s="7" t="s">
        <v>210</v>
      </c>
      <c r="D255" s="7" t="s">
        <v>211</v>
      </c>
      <c r="E255" s="7" t="s">
        <v>212</v>
      </c>
      <c r="F255" s="7"/>
      <c r="G255" s="7"/>
      <c r="H255" s="7"/>
      <c r="I255" s="7"/>
    </row>
    <row r="256" spans="2:9" x14ac:dyDescent="0.25">
      <c r="B256" s="7"/>
      <c r="C256" s="7" t="s">
        <v>213</v>
      </c>
      <c r="D256" s="7" t="s">
        <v>214</v>
      </c>
      <c r="E256" s="7"/>
      <c r="F256" s="7"/>
      <c r="G256" s="7"/>
      <c r="H256" s="7"/>
      <c r="I256" s="7"/>
    </row>
    <row r="257" spans="2:9" x14ac:dyDescent="0.25">
      <c r="B257" s="7"/>
      <c r="C257" s="7"/>
      <c r="D257" s="7" t="s">
        <v>215</v>
      </c>
      <c r="E257" s="7"/>
      <c r="F257" s="7"/>
      <c r="G257" s="7"/>
      <c r="H257" s="7"/>
      <c r="I257" s="7"/>
    </row>
    <row r="258" spans="2:9" x14ac:dyDescent="0.25">
      <c r="B258" s="7"/>
      <c r="C258" s="7" t="s">
        <v>216</v>
      </c>
      <c r="D258" s="7"/>
      <c r="E258" s="7"/>
      <c r="F258" s="7"/>
      <c r="G258" s="7"/>
      <c r="H258" s="7"/>
      <c r="I258" s="7"/>
    </row>
    <row r="259" spans="2:9" x14ac:dyDescent="0.25">
      <c r="B259" s="7"/>
      <c r="C259" s="7" t="s">
        <v>213</v>
      </c>
      <c r="D259" s="7" t="s">
        <v>204</v>
      </c>
      <c r="E259" s="7"/>
      <c r="F259" s="7"/>
      <c r="G259" s="7"/>
      <c r="H259" s="7"/>
      <c r="I259" s="7"/>
    </row>
    <row r="260" spans="2:9" x14ac:dyDescent="0.25">
      <c r="B260" s="7"/>
      <c r="C260" s="7"/>
      <c r="D260" s="7" t="s">
        <v>217</v>
      </c>
      <c r="E260" s="7" t="s">
        <v>204</v>
      </c>
      <c r="F260" s="7" t="s">
        <v>214</v>
      </c>
      <c r="G260" s="7"/>
      <c r="H260" s="7"/>
      <c r="I260" s="7"/>
    </row>
    <row r="261" spans="2:9" x14ac:dyDescent="0.25">
      <c r="B261" s="7"/>
      <c r="C261" s="7"/>
      <c r="D261" s="7" t="s">
        <v>215</v>
      </c>
      <c r="E261" s="7"/>
      <c r="F261" s="7"/>
      <c r="G261" s="7"/>
      <c r="H261" s="7"/>
      <c r="I261" s="7"/>
    </row>
    <row r="262" spans="2:9" x14ac:dyDescent="0.25">
      <c r="B262" s="7"/>
      <c r="C262" s="7" t="s">
        <v>216</v>
      </c>
      <c r="D262" s="7"/>
      <c r="E262" s="7"/>
      <c r="F262" s="7"/>
      <c r="G262" s="7"/>
      <c r="H262" s="7"/>
      <c r="I262" s="7"/>
    </row>
    <row r="263" spans="2:9" x14ac:dyDescent="0.25">
      <c r="B263" s="7"/>
      <c r="C263" s="7" t="s">
        <v>213</v>
      </c>
      <c r="D263" s="7" t="s">
        <v>205</v>
      </c>
      <c r="E263" s="7"/>
      <c r="F263" s="7"/>
      <c r="G263" s="7"/>
      <c r="H263" s="7"/>
      <c r="I263" s="7"/>
    </row>
    <row r="264" spans="2:9" x14ac:dyDescent="0.25">
      <c r="B264" s="7"/>
      <c r="C264" s="7"/>
      <c r="D264" s="7" t="s">
        <v>217</v>
      </c>
      <c r="E264" s="7" t="s">
        <v>205</v>
      </c>
      <c r="F264" s="7" t="s">
        <v>214</v>
      </c>
      <c r="G264" s="7"/>
      <c r="H264" s="7"/>
      <c r="I264" s="7"/>
    </row>
    <row r="265" spans="2:9" x14ac:dyDescent="0.25">
      <c r="B265" s="7"/>
      <c r="C265" s="7"/>
      <c r="D265" s="7" t="s">
        <v>215</v>
      </c>
      <c r="E265" s="7"/>
      <c r="F265" s="7"/>
      <c r="G265" s="7"/>
      <c r="H265" s="7"/>
      <c r="I265" s="7"/>
    </row>
    <row r="266" spans="2:9" x14ac:dyDescent="0.25">
      <c r="B266" s="7"/>
      <c r="C266" s="7" t="s">
        <v>216</v>
      </c>
      <c r="D266" s="7"/>
      <c r="E266" s="7"/>
      <c r="F266" s="7"/>
      <c r="G266" s="7"/>
      <c r="H266" s="7"/>
      <c r="I266" s="7"/>
    </row>
    <row r="267" spans="2:9" x14ac:dyDescent="0.25">
      <c r="B267" s="7"/>
      <c r="C267" s="7" t="s">
        <v>213</v>
      </c>
      <c r="D267" s="7" t="s">
        <v>206</v>
      </c>
      <c r="E267" s="7"/>
      <c r="F267" s="7"/>
      <c r="G267" s="7"/>
      <c r="H267" s="7"/>
      <c r="I267" s="7"/>
    </row>
    <row r="268" spans="2:9" x14ac:dyDescent="0.25">
      <c r="B268" s="7"/>
      <c r="C268" s="7"/>
      <c r="D268" s="7" t="s">
        <v>217</v>
      </c>
      <c r="E268" s="7" t="s">
        <v>206</v>
      </c>
      <c r="F268" s="7" t="s">
        <v>214</v>
      </c>
      <c r="G268" s="7"/>
      <c r="H268" s="7"/>
      <c r="I268" s="7"/>
    </row>
    <row r="269" spans="2:9" x14ac:dyDescent="0.25">
      <c r="B269" s="7"/>
      <c r="C269" s="7"/>
      <c r="D269" s="7" t="s">
        <v>215</v>
      </c>
      <c r="E269" s="7"/>
      <c r="F269" s="7"/>
      <c r="G269" s="7"/>
      <c r="H269" s="7"/>
      <c r="I269" s="7"/>
    </row>
    <row r="270" spans="2:9" x14ac:dyDescent="0.25">
      <c r="B270" s="7"/>
      <c r="C270" s="7" t="s">
        <v>216</v>
      </c>
      <c r="D270" s="7"/>
      <c r="E270" s="7"/>
      <c r="F270" s="7"/>
      <c r="G270" s="7"/>
      <c r="H270" s="7"/>
      <c r="I270" s="7"/>
    </row>
    <row r="271" spans="2:9" x14ac:dyDescent="0.25">
      <c r="B271" s="7"/>
      <c r="C271" s="7" t="s">
        <v>213</v>
      </c>
      <c r="D271" s="7" t="s">
        <v>207</v>
      </c>
      <c r="E271" s="7"/>
      <c r="F271" s="7"/>
      <c r="G271" s="7"/>
      <c r="H271" s="7"/>
      <c r="I271" s="7"/>
    </row>
    <row r="272" spans="2:9" x14ac:dyDescent="0.25">
      <c r="B272" s="7"/>
      <c r="C272" s="7"/>
      <c r="D272" s="7" t="s">
        <v>217</v>
      </c>
      <c r="E272" s="7" t="s">
        <v>207</v>
      </c>
      <c r="F272" s="7" t="s">
        <v>214</v>
      </c>
      <c r="G272" s="7"/>
      <c r="H272" s="7"/>
      <c r="I272" s="7"/>
    </row>
    <row r="273" spans="2:9" x14ac:dyDescent="0.25">
      <c r="B273" s="7"/>
      <c r="C273" s="7"/>
      <c r="D273" s="7" t="s">
        <v>215</v>
      </c>
      <c r="E273" s="7"/>
      <c r="F273" s="7"/>
      <c r="G273" s="7"/>
      <c r="H273" s="7"/>
      <c r="I273" s="7"/>
    </row>
    <row r="274" spans="2:9" x14ac:dyDescent="0.25">
      <c r="B274" s="7"/>
      <c r="C274" s="7" t="s">
        <v>216</v>
      </c>
      <c r="D274" s="7"/>
      <c r="E274" s="7"/>
      <c r="F274" s="7"/>
      <c r="G274" s="7"/>
      <c r="H274" s="7"/>
      <c r="I274" s="7"/>
    </row>
    <row r="275" spans="2:9" x14ac:dyDescent="0.25">
      <c r="B275" s="7"/>
      <c r="C275" s="7" t="s">
        <v>218</v>
      </c>
      <c r="D275" s="7" t="s">
        <v>208</v>
      </c>
      <c r="E275" s="7" t="s">
        <v>191</v>
      </c>
      <c r="F275" s="7" t="s">
        <v>214</v>
      </c>
      <c r="G275" s="7"/>
      <c r="H275" s="7"/>
      <c r="I275" s="7"/>
    </row>
    <row r="276" spans="2:9" x14ac:dyDescent="0.25">
      <c r="B276" s="7"/>
      <c r="C276" s="7" t="s">
        <v>217</v>
      </c>
      <c r="D276" s="7" t="s">
        <v>80</v>
      </c>
      <c r="E276" s="7" t="s">
        <v>219</v>
      </c>
      <c r="F276" s="7"/>
      <c r="G276" s="7"/>
      <c r="H276" s="7"/>
      <c r="I276" s="7"/>
    </row>
    <row r="277" spans="2:9" x14ac:dyDescent="0.25">
      <c r="B277" s="7" t="s">
        <v>201</v>
      </c>
      <c r="C277" s="7"/>
      <c r="D277" s="7"/>
      <c r="E277" s="7"/>
      <c r="F277" s="7"/>
      <c r="G277" s="7"/>
      <c r="H277" s="7"/>
      <c r="I277" s="7"/>
    </row>
    <row r="278" spans="2:9" x14ac:dyDescent="0.25">
      <c r="B278" s="7" t="s">
        <v>220</v>
      </c>
      <c r="C278" s="7" t="s">
        <v>221</v>
      </c>
      <c r="D278" s="7"/>
      <c r="E278" s="7"/>
      <c r="F278" s="7"/>
      <c r="G278" s="7"/>
      <c r="H278" s="7"/>
      <c r="I278" s="7"/>
    </row>
    <row r="279" spans="2:9" x14ac:dyDescent="0.25">
      <c r="B279" s="7" t="s">
        <v>222</v>
      </c>
      <c r="C279" s="7" t="s">
        <v>206</v>
      </c>
      <c r="D279" s="7"/>
      <c r="E279" s="7"/>
      <c r="F279" s="7"/>
      <c r="G279" s="7"/>
      <c r="H279" s="7"/>
      <c r="I279" s="7"/>
    </row>
    <row r="280" spans="2:9" x14ac:dyDescent="0.25">
      <c r="B280" s="7"/>
      <c r="C280" s="7" t="s">
        <v>213</v>
      </c>
      <c r="D280" s="7" t="s">
        <v>205</v>
      </c>
      <c r="E280" s="7" t="s">
        <v>223</v>
      </c>
      <c r="F280" s="7"/>
      <c r="G280" s="7"/>
      <c r="H280" s="7"/>
      <c r="I280" s="7"/>
    </row>
    <row r="281" spans="2:9" x14ac:dyDescent="0.25">
      <c r="B281" s="7"/>
      <c r="C281" s="7"/>
      <c r="D281" s="7" t="s">
        <v>224</v>
      </c>
      <c r="E281" s="7" t="s">
        <v>221</v>
      </c>
      <c r="F281" s="7" t="s">
        <v>225</v>
      </c>
      <c r="G281" s="7" t="s">
        <v>226</v>
      </c>
      <c r="H281" s="7"/>
      <c r="I281" s="7"/>
    </row>
    <row r="282" spans="2:9" x14ac:dyDescent="0.25">
      <c r="B282" s="7"/>
      <c r="C282" s="7" t="s">
        <v>227</v>
      </c>
      <c r="D282" s="7"/>
      <c r="E282" s="7"/>
      <c r="F282" s="7"/>
      <c r="G282" s="7"/>
      <c r="H282" s="7"/>
      <c r="I282" s="7"/>
    </row>
    <row r="283" spans="2:9" x14ac:dyDescent="0.25">
      <c r="B283" s="7"/>
      <c r="C283" s="7"/>
      <c r="D283" s="7" t="s">
        <v>222</v>
      </c>
      <c r="E283" s="7" t="s">
        <v>207</v>
      </c>
      <c r="F283" s="7"/>
      <c r="G283" s="7"/>
      <c r="H283" s="7"/>
      <c r="I283" s="7"/>
    </row>
    <row r="284" spans="2:9" x14ac:dyDescent="0.25">
      <c r="B284" s="7"/>
      <c r="C284" s="7"/>
      <c r="D284" s="7"/>
      <c r="E284" s="7" t="s">
        <v>228</v>
      </c>
      <c r="F284" s="7" t="s">
        <v>221</v>
      </c>
      <c r="G284" s="7" t="s">
        <v>225</v>
      </c>
      <c r="H284" s="7" t="s">
        <v>226</v>
      </c>
      <c r="I284" s="7"/>
    </row>
    <row r="285" spans="2:9" x14ac:dyDescent="0.25">
      <c r="B285" s="7"/>
      <c r="C285" s="7"/>
      <c r="D285" s="7" t="s">
        <v>216</v>
      </c>
      <c r="E285" s="7"/>
      <c r="F285" s="7"/>
      <c r="G285" s="7"/>
      <c r="H285" s="7"/>
      <c r="I285" s="7"/>
    </row>
    <row r="286" spans="2:9" x14ac:dyDescent="0.25">
      <c r="B286" s="7"/>
      <c r="C286" s="7" t="s">
        <v>216</v>
      </c>
      <c r="D286" s="7"/>
      <c r="E286" s="7"/>
      <c r="F286" s="7"/>
      <c r="G286" s="7"/>
      <c r="H286" s="7"/>
      <c r="I286" s="7"/>
    </row>
    <row r="287" spans="2:9" x14ac:dyDescent="0.25">
      <c r="B287" s="7" t="s">
        <v>216</v>
      </c>
      <c r="C287" s="7"/>
      <c r="D287" s="7"/>
      <c r="E287" s="7"/>
      <c r="F287" s="7"/>
      <c r="G287" s="7"/>
      <c r="H287" s="7"/>
      <c r="I287" s="7"/>
    </row>
    <row r="288" spans="2:9" x14ac:dyDescent="0.25">
      <c r="B288" s="7"/>
      <c r="C288" s="7"/>
      <c r="D288" s="7"/>
      <c r="E288" s="7"/>
      <c r="F288" s="7"/>
      <c r="G288" s="7"/>
      <c r="H288" s="7"/>
      <c r="I288" s="7"/>
    </row>
    <row r="289" spans="2:9" x14ac:dyDescent="0.25">
      <c r="B289" s="24" t="s">
        <v>19</v>
      </c>
      <c r="C289" s="24" t="s">
        <v>229</v>
      </c>
      <c r="D289" s="24"/>
      <c r="E289" s="24"/>
      <c r="F289" s="24"/>
      <c r="G289" s="24"/>
      <c r="H289" s="24"/>
      <c r="I289" s="7"/>
    </row>
    <row r="290" spans="2:9" x14ac:dyDescent="0.25">
      <c r="B290" s="7" t="s">
        <v>165</v>
      </c>
      <c r="C290" s="7" t="s">
        <v>176</v>
      </c>
      <c r="D290" s="7"/>
      <c r="E290" s="7"/>
      <c r="F290" s="7"/>
      <c r="G290" s="7"/>
      <c r="H290" s="7"/>
      <c r="I290" s="7"/>
    </row>
    <row r="291" spans="2:9" x14ac:dyDescent="0.25">
      <c r="B291" s="7" t="s">
        <v>230</v>
      </c>
      <c r="C291" s="7" t="s">
        <v>231</v>
      </c>
      <c r="D291" s="7" t="s">
        <v>232</v>
      </c>
      <c r="E291" s="7" t="s">
        <v>233</v>
      </c>
      <c r="F291" s="7" t="s">
        <v>234</v>
      </c>
      <c r="G291" s="7"/>
      <c r="H291" s="7"/>
      <c r="I291" s="7"/>
    </row>
    <row r="292" spans="2:9" x14ac:dyDescent="0.25">
      <c r="B292" s="11" t="s">
        <v>235</v>
      </c>
      <c r="C292" s="11" t="s">
        <v>236</v>
      </c>
      <c r="D292" s="11"/>
      <c r="E292" s="11"/>
      <c r="F292" s="11"/>
      <c r="G292" s="11"/>
      <c r="H292" s="11"/>
      <c r="I292" s="11"/>
    </row>
    <row r="293" spans="2:9" x14ac:dyDescent="0.25">
      <c r="B293" s="11" t="s">
        <v>235</v>
      </c>
      <c r="C293" s="11" t="s">
        <v>237</v>
      </c>
      <c r="D293" s="11"/>
      <c r="E293" s="11"/>
      <c r="F293" s="11"/>
      <c r="G293" s="11"/>
      <c r="H293" s="11"/>
      <c r="I293" s="11"/>
    </row>
    <row r="294" spans="2:9" x14ac:dyDescent="0.25">
      <c r="B294" s="11" t="s">
        <v>235</v>
      </c>
      <c r="C294" s="11" t="s">
        <v>238</v>
      </c>
      <c r="D294" s="11"/>
      <c r="E294" s="11"/>
      <c r="F294" s="11"/>
      <c r="G294" s="11"/>
      <c r="H294" s="11"/>
      <c r="I294" s="11"/>
    </row>
    <row r="295" spans="2:9" x14ac:dyDescent="0.25">
      <c r="B295" s="11" t="s">
        <v>235</v>
      </c>
      <c r="C295" s="11" t="s">
        <v>239</v>
      </c>
      <c r="D295" s="11"/>
      <c r="E295" s="11"/>
      <c r="F295" s="11"/>
      <c r="G295" s="11"/>
      <c r="H295" s="11"/>
      <c r="I295" s="11"/>
    </row>
    <row r="296" spans="2:9" x14ac:dyDescent="0.25">
      <c r="B296" s="11" t="s">
        <v>235</v>
      </c>
      <c r="C296" s="11" t="s">
        <v>240</v>
      </c>
      <c r="D296" s="11"/>
      <c r="E296" s="11"/>
      <c r="F296" s="11"/>
      <c r="G296" s="11"/>
      <c r="H296" s="11"/>
      <c r="I296" s="11"/>
    </row>
    <row r="297" spans="2:9" x14ac:dyDescent="0.25">
      <c r="B297" s="11" t="s">
        <v>235</v>
      </c>
      <c r="C297" s="11" t="s">
        <v>241</v>
      </c>
      <c r="D297" s="11"/>
      <c r="E297" s="11"/>
      <c r="F297" s="11"/>
      <c r="G297" s="11"/>
      <c r="H297" s="11"/>
      <c r="I297" s="11"/>
    </row>
    <row r="298" spans="2:9" x14ac:dyDescent="0.25">
      <c r="B298" s="11" t="s">
        <v>235</v>
      </c>
      <c r="C298" s="11" t="s">
        <v>236</v>
      </c>
      <c r="D298" s="11"/>
      <c r="E298" s="11"/>
      <c r="F298" s="11"/>
      <c r="G298" s="11"/>
      <c r="H298" s="11"/>
      <c r="I298" s="11"/>
    </row>
    <row r="299" spans="2:9" x14ac:dyDescent="0.25">
      <c r="B299" s="11"/>
      <c r="C299" s="11"/>
      <c r="D299" s="11"/>
      <c r="E299" s="11"/>
      <c r="F299" s="11"/>
      <c r="G299" s="11"/>
      <c r="H299" s="11"/>
      <c r="I299" s="11"/>
    </row>
    <row r="300" spans="2:9" x14ac:dyDescent="0.25">
      <c r="B300" s="9"/>
      <c r="C300" s="9"/>
      <c r="D300" s="9"/>
      <c r="E300" s="9"/>
      <c r="F300" s="9"/>
      <c r="G300" s="9"/>
      <c r="H300" s="9"/>
      <c r="I300" s="9"/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230A1-9049-4E0B-9252-380B4D45FE2E}">
  <dimension ref="A1:F39"/>
  <sheetViews>
    <sheetView topLeftCell="A9" zoomScaleNormal="100" workbookViewId="0">
      <selection activeCell="C7" sqref="C7"/>
    </sheetView>
  </sheetViews>
  <sheetFormatPr defaultRowHeight="15.75" x14ac:dyDescent="0.25"/>
  <cols>
    <col min="1" max="1" width="3.25" style="3" customWidth="1"/>
    <col min="2" max="2" width="16.75" style="4" customWidth="1"/>
    <col min="3" max="3" width="64" style="4" bestFit="1" customWidth="1"/>
    <col min="4" max="4" width="47.875" style="4" bestFit="1" customWidth="1"/>
    <col min="5" max="5" width="21.75" style="4" customWidth="1"/>
    <col min="6" max="6" width="9" style="4"/>
    <col min="7" max="16384" width="9" style="2"/>
  </cols>
  <sheetData>
    <row r="1" spans="1:6" s="3" customFormat="1" ht="19.5" x14ac:dyDescent="0.3">
      <c r="A1" s="1" t="s">
        <v>570</v>
      </c>
      <c r="B1" s="4"/>
      <c r="C1" s="4"/>
      <c r="D1" s="4"/>
      <c r="E1" s="4"/>
      <c r="F1" s="5"/>
    </row>
    <row r="3" spans="1:6" x14ac:dyDescent="0.25">
      <c r="A3" s="3" t="s">
        <v>571</v>
      </c>
    </row>
    <row r="4" spans="1:6" x14ac:dyDescent="0.25">
      <c r="B4" s="4" t="s">
        <v>572</v>
      </c>
    </row>
    <row r="5" spans="1:6" x14ac:dyDescent="0.25">
      <c r="B5" s="4" t="s">
        <v>573</v>
      </c>
    </row>
    <row r="7" spans="1:6" x14ac:dyDescent="0.25">
      <c r="A7" s="3" t="s">
        <v>574</v>
      </c>
    </row>
    <row r="8" spans="1:6" x14ac:dyDescent="0.25">
      <c r="B8" s="4" t="s">
        <v>575</v>
      </c>
    </row>
    <row r="9" spans="1:6" x14ac:dyDescent="0.25">
      <c r="B9" s="4" t="s">
        <v>576</v>
      </c>
    </row>
    <row r="11" spans="1:6" x14ac:dyDescent="0.25">
      <c r="A11" s="3" t="s">
        <v>570</v>
      </c>
    </row>
    <row r="12" spans="1:6" x14ac:dyDescent="0.25">
      <c r="B12" s="6" t="s">
        <v>577</v>
      </c>
      <c r="C12" s="6" t="s">
        <v>15</v>
      </c>
      <c r="D12" s="6" t="s">
        <v>322</v>
      </c>
    </row>
    <row r="13" spans="1:6" x14ac:dyDescent="0.25">
      <c r="B13" s="6" t="s">
        <v>258</v>
      </c>
      <c r="C13" s="6" t="s">
        <v>259</v>
      </c>
      <c r="D13" s="6" t="s">
        <v>578</v>
      </c>
    </row>
    <row r="14" spans="1:6" x14ac:dyDescent="0.25">
      <c r="B14" s="6" t="s">
        <v>260</v>
      </c>
      <c r="C14" s="6" t="s">
        <v>261</v>
      </c>
      <c r="D14" s="6" t="s">
        <v>579</v>
      </c>
    </row>
    <row r="15" spans="1:6" x14ac:dyDescent="0.25">
      <c r="B15" s="6" t="s">
        <v>262</v>
      </c>
      <c r="C15" s="6" t="s">
        <v>263</v>
      </c>
      <c r="D15" s="6" t="s">
        <v>580</v>
      </c>
    </row>
    <row r="16" spans="1:6" x14ac:dyDescent="0.25">
      <c r="B16" s="6" t="s">
        <v>264</v>
      </c>
      <c r="C16" s="6" t="s">
        <v>265</v>
      </c>
      <c r="D16" s="6" t="s">
        <v>581</v>
      </c>
    </row>
    <row r="17" spans="2:4" x14ac:dyDescent="0.25">
      <c r="B17" s="6" t="s">
        <v>266</v>
      </c>
      <c r="C17" s="6" t="s">
        <v>267</v>
      </c>
      <c r="D17" s="6" t="s">
        <v>582</v>
      </c>
    </row>
    <row r="18" spans="2:4" x14ac:dyDescent="0.25">
      <c r="B18" s="6" t="s">
        <v>268</v>
      </c>
      <c r="C18" s="6" t="s">
        <v>269</v>
      </c>
      <c r="D18" s="6" t="s">
        <v>583</v>
      </c>
    </row>
    <row r="19" spans="2:4" x14ac:dyDescent="0.25">
      <c r="B19" s="6" t="s">
        <v>270</v>
      </c>
      <c r="C19" s="6" t="s">
        <v>584</v>
      </c>
      <c r="D19" s="6" t="s">
        <v>585</v>
      </c>
    </row>
    <row r="20" spans="2:4" x14ac:dyDescent="0.25">
      <c r="B20" s="6" t="s">
        <v>271</v>
      </c>
      <c r="C20" s="6" t="s">
        <v>586</v>
      </c>
      <c r="D20" s="6" t="s">
        <v>587</v>
      </c>
    </row>
    <row r="21" spans="2:4" x14ac:dyDescent="0.25">
      <c r="B21" s="6" t="s">
        <v>272</v>
      </c>
      <c r="C21" s="6" t="s">
        <v>273</v>
      </c>
      <c r="D21" s="6" t="s">
        <v>588</v>
      </c>
    </row>
    <row r="22" spans="2:4" x14ac:dyDescent="0.25">
      <c r="B22" s="6" t="s">
        <v>274</v>
      </c>
      <c r="C22" s="6" t="s">
        <v>275</v>
      </c>
      <c r="D22" s="6" t="s">
        <v>589</v>
      </c>
    </row>
    <row r="23" spans="2:4" x14ac:dyDescent="0.25">
      <c r="B23" s="6" t="s">
        <v>276</v>
      </c>
      <c r="C23" s="6" t="s">
        <v>277</v>
      </c>
      <c r="D23" s="6" t="s">
        <v>590</v>
      </c>
    </row>
    <row r="24" spans="2:4" x14ac:dyDescent="0.25">
      <c r="B24" s="6" t="s">
        <v>591</v>
      </c>
      <c r="C24" s="6" t="s">
        <v>278</v>
      </c>
      <c r="D24" s="6" t="s">
        <v>592</v>
      </c>
    </row>
    <row r="25" spans="2:4" x14ac:dyDescent="0.25">
      <c r="B25" s="6" t="s">
        <v>593</v>
      </c>
      <c r="C25" s="6" t="s">
        <v>279</v>
      </c>
      <c r="D25" s="6" t="s">
        <v>594</v>
      </c>
    </row>
    <row r="26" spans="2:4" x14ac:dyDescent="0.25">
      <c r="B26" s="6" t="s">
        <v>595</v>
      </c>
      <c r="C26" s="6" t="s">
        <v>280</v>
      </c>
      <c r="D26" s="6" t="s">
        <v>596</v>
      </c>
    </row>
    <row r="27" spans="2:4" x14ac:dyDescent="0.25">
      <c r="B27" s="6" t="s">
        <v>281</v>
      </c>
      <c r="C27" s="6" t="s">
        <v>282</v>
      </c>
      <c r="D27" s="6" t="s">
        <v>597</v>
      </c>
    </row>
    <row r="28" spans="2:4" x14ac:dyDescent="0.25">
      <c r="B28" s="6" t="s">
        <v>283</v>
      </c>
      <c r="C28" s="6" t="s">
        <v>284</v>
      </c>
      <c r="D28" s="6" t="s">
        <v>598</v>
      </c>
    </row>
    <row r="29" spans="2:4" x14ac:dyDescent="0.25">
      <c r="B29" s="6" t="s">
        <v>285</v>
      </c>
      <c r="C29" s="6" t="s">
        <v>286</v>
      </c>
      <c r="D29" s="6" t="s">
        <v>599</v>
      </c>
    </row>
    <row r="30" spans="2:4" x14ac:dyDescent="0.25">
      <c r="B30" s="6" t="s">
        <v>287</v>
      </c>
      <c r="C30" s="6" t="s">
        <v>288</v>
      </c>
      <c r="D30" s="6" t="s">
        <v>600</v>
      </c>
    </row>
    <row r="31" spans="2:4" x14ac:dyDescent="0.25">
      <c r="B31" s="6" t="s">
        <v>289</v>
      </c>
      <c r="C31" s="6" t="s">
        <v>290</v>
      </c>
      <c r="D31" s="6" t="s">
        <v>601</v>
      </c>
    </row>
    <row r="32" spans="2:4" x14ac:dyDescent="0.25">
      <c r="B32" s="6" t="s">
        <v>291</v>
      </c>
      <c r="C32" s="6" t="s">
        <v>292</v>
      </c>
      <c r="D32" s="6" t="s">
        <v>602</v>
      </c>
    </row>
    <row r="33" spans="2:4" x14ac:dyDescent="0.25">
      <c r="B33" s="6" t="s">
        <v>293</v>
      </c>
      <c r="C33" s="6" t="s">
        <v>603</v>
      </c>
      <c r="D33" s="6" t="s">
        <v>604</v>
      </c>
    </row>
    <row r="34" spans="2:4" x14ac:dyDescent="0.25">
      <c r="B34" s="6" t="s">
        <v>294</v>
      </c>
      <c r="C34" s="6" t="s">
        <v>605</v>
      </c>
      <c r="D34" s="6" t="s">
        <v>606</v>
      </c>
    </row>
    <row r="35" spans="2:4" x14ac:dyDescent="0.25">
      <c r="B35" s="6" t="s">
        <v>295</v>
      </c>
      <c r="C35" s="6" t="s">
        <v>296</v>
      </c>
      <c r="D35" s="6" t="s">
        <v>607</v>
      </c>
    </row>
    <row r="36" spans="2:4" x14ac:dyDescent="0.25">
      <c r="B36" s="6" t="s">
        <v>608</v>
      </c>
      <c r="C36" s="6" t="s">
        <v>609</v>
      </c>
      <c r="D36" s="6" t="s">
        <v>610</v>
      </c>
    </row>
    <row r="37" spans="2:4" x14ac:dyDescent="0.25">
      <c r="B37" s="6" t="s">
        <v>611</v>
      </c>
      <c r="C37" s="6" t="s">
        <v>612</v>
      </c>
      <c r="D37" s="6" t="s">
        <v>613</v>
      </c>
    </row>
    <row r="38" spans="2:4" x14ac:dyDescent="0.25">
      <c r="B38" s="6" t="s">
        <v>614</v>
      </c>
      <c r="C38" s="6" t="s">
        <v>297</v>
      </c>
      <c r="D38" s="6" t="s">
        <v>615</v>
      </c>
    </row>
    <row r="39" spans="2:4" x14ac:dyDescent="0.25">
      <c r="B39" s="6" t="s">
        <v>616</v>
      </c>
      <c r="C39" s="6" t="s">
        <v>298</v>
      </c>
      <c r="D39" s="6" t="s">
        <v>617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FDD87-441C-45E1-A53B-4B23BE47FAEB}">
  <dimension ref="A1:F1"/>
  <sheetViews>
    <sheetView tabSelected="1" zoomScaleNormal="100" workbookViewId="0">
      <selection activeCell="B15" sqref="B15"/>
    </sheetView>
  </sheetViews>
  <sheetFormatPr defaultRowHeight="15.75" x14ac:dyDescent="0.25"/>
  <cols>
    <col min="1" max="1" width="3.25" style="3" customWidth="1"/>
    <col min="2" max="2" width="25.625" style="4" customWidth="1"/>
    <col min="3" max="3" width="12.25" style="4" customWidth="1"/>
    <col min="4" max="4" width="38.25" style="4" customWidth="1"/>
    <col min="5" max="5" width="21.75" style="4" customWidth="1"/>
    <col min="6" max="6" width="9" style="4"/>
    <col min="7" max="16384" width="9" style="2"/>
  </cols>
  <sheetData>
    <row r="1" spans="1:6" s="3" customFormat="1" ht="19.5" x14ac:dyDescent="0.3">
      <c r="A1" s="1"/>
      <c r="B1" s="4"/>
      <c r="C1" s="4"/>
      <c r="D1" s="4"/>
      <c r="E1" s="4"/>
      <c r="F1" s="5"/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目次</vt:lpstr>
      <vt:lpstr>概要</vt:lpstr>
      <vt:lpstr>コマンドリファレンス</vt:lpstr>
      <vt:lpstr>サンプル</vt:lpstr>
      <vt:lpstr>エラーメッセージ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滋 粕谷</cp:lastModifiedBy>
  <cp:lastPrinted>2026-08-23T13:38:56Z</cp:lastPrinted>
  <dcterms:created xsi:type="dcterms:W3CDTF">1997-01-08T22:48:59Z</dcterms:created>
  <dcterms:modified xsi:type="dcterms:W3CDTF">2026-08-29T06:46:46Z</dcterms:modified>
</cp:coreProperties>
</file>